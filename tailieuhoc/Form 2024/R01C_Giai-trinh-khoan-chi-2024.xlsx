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may mau\Downloads\"/>
    </mc:Choice>
  </mc:AlternateContent>
  <xr:revisionPtr revIDLastSave="0" documentId="13_ncr:1_{08150089-DAB1-424D-B5AE-33888AE87A6A}" xr6:coauthVersionLast="47" xr6:coauthVersionMax="47" xr10:uidLastSave="{00000000-0000-0000-0000-000000000000}"/>
  <bookViews>
    <workbookView xWindow="-120" yWindow="-120" windowWidth="20730" windowHeight="11160" tabRatio="756" activeTab="2" xr2:uid="{00000000-000D-0000-FFFF-FFFF00000000}"/>
  </bookViews>
  <sheets>
    <sheet name="Tong KP" sheetId="7" r:id="rId1"/>
    <sheet name="Kh1" sheetId="1" r:id="rId2"/>
    <sheet name="B1.1" sheetId="9" r:id="rId3"/>
    <sheet name="B1.2" sheetId="3" r:id="rId4"/>
    <sheet name="B1.3" sheetId="4" r:id="rId5"/>
    <sheet name="Kh2" sheetId="5" r:id="rId6"/>
    <sheet name="Kh3" sheetId="6" r:id="rId7"/>
  </sheets>
  <definedNames>
    <definedName name="_Toc413248967" localSheetId="0">'Tong KP'!$A$2</definedName>
    <definedName name="_Toc413248968" localSheetId="0">'Tong KP'!$A$1</definedName>
    <definedName name="_Toc413248972" localSheetId="6">'Kh3'!$A$1</definedName>
    <definedName name="_xlnm.Print_Area" localSheetId="3">'B1.2'!$A$1:$O$45</definedName>
    <definedName name="_xlnm.Print_Area" localSheetId="4">'B1.3'!$A$1:$O$44</definedName>
    <definedName name="_xlnm.Print_Area" localSheetId="1">'Kh1'!$A$1:$O$41</definedName>
    <definedName name="_xlnm.Print_Area" localSheetId="5">'Kh2'!$A$1:$Q$41</definedName>
    <definedName name="_xlnm.Print_Area" localSheetId="6">'Kh3'!$A$1:$Q$33</definedName>
    <definedName name="_xlnm.Print_Area" localSheetId="0">'Tong KP'!$A$1:$N$40</definedName>
    <definedName name="_xlnm.Print_Titles" localSheetId="2">'B1.1'!$5:$5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9" l="1"/>
  <c r="F8" i="9"/>
  <c r="E8" i="9"/>
  <c r="F22" i="9"/>
  <c r="D12" i="9" l="1"/>
  <c r="D14" i="9"/>
  <c r="D18" i="9"/>
  <c r="G11" i="6"/>
  <c r="H11" i="6"/>
  <c r="G16" i="5"/>
  <c r="H16" i="5"/>
  <c r="F38" i="5"/>
  <c r="F37" i="5"/>
  <c r="F36" i="5"/>
  <c r="F35" i="5"/>
  <c r="F33" i="5"/>
  <c r="F32" i="5"/>
  <c r="F31" i="5"/>
  <c r="F30" i="5"/>
  <c r="F28" i="5"/>
  <c r="F27" i="5"/>
  <c r="F26" i="5"/>
  <c r="F25" i="5"/>
  <c r="F32" i="6"/>
  <c r="F31" i="6"/>
  <c r="F30" i="6"/>
  <c r="F29" i="6"/>
  <c r="F27" i="6"/>
  <c r="F26" i="6"/>
  <c r="F25" i="6"/>
  <c r="F24" i="6"/>
  <c r="F22" i="6"/>
  <c r="F21" i="6"/>
  <c r="F20" i="6"/>
  <c r="F19" i="6"/>
  <c r="F34" i="5" l="1"/>
  <c r="F24" i="5"/>
  <c r="F28" i="6"/>
  <c r="F29" i="5"/>
  <c r="F39" i="5" s="1"/>
  <c r="F16" i="5" s="1"/>
  <c r="F23" i="6"/>
  <c r="F18" i="6"/>
  <c r="F7" i="6"/>
  <c r="F8" i="6"/>
  <c r="F4" i="6"/>
  <c r="F5" i="6"/>
  <c r="F6" i="6"/>
  <c r="F12" i="5"/>
  <c r="F13" i="5"/>
  <c r="F14" i="5"/>
  <c r="F15" i="5"/>
  <c r="F11" i="5"/>
  <c r="F6" i="5"/>
  <c r="F7" i="5"/>
  <c r="F8" i="5"/>
  <c r="F5" i="5"/>
  <c r="G10" i="5"/>
  <c r="H10" i="5"/>
  <c r="G4" i="5"/>
  <c r="H4" i="5"/>
  <c r="D10" i="4"/>
  <c r="C6" i="1" s="1"/>
  <c r="D10" i="3"/>
  <c r="C5" i="1" s="1"/>
  <c r="F18" i="9"/>
  <c r="F33" i="6" l="1"/>
  <c r="F11" i="6" s="1"/>
  <c r="F12" i="6" s="1"/>
  <c r="F10" i="5"/>
  <c r="F4" i="5"/>
  <c r="F18" i="5" s="1"/>
  <c r="I37" i="9"/>
  <c r="E4" i="1" s="1"/>
  <c r="H37" i="9"/>
  <c r="D4" i="1" s="1"/>
  <c r="G34" i="9"/>
  <c r="E33" i="9"/>
  <c r="G33" i="9" s="1"/>
  <c r="E32" i="9"/>
  <c r="G32" i="9" s="1"/>
  <c r="E31" i="9"/>
  <c r="G31" i="9" s="1"/>
  <c r="F30" i="9"/>
  <c r="E30" i="9"/>
  <c r="D30" i="9"/>
  <c r="E29" i="9"/>
  <c r="G29" i="9" s="1"/>
  <c r="E28" i="9"/>
  <c r="G28" i="9" s="1"/>
  <c r="E27" i="9"/>
  <c r="G27" i="9" s="1"/>
  <c r="F26" i="9"/>
  <c r="E26" i="9"/>
  <c r="D26" i="9"/>
  <c r="E25" i="9"/>
  <c r="G25" i="9" s="1"/>
  <c r="F24" i="9"/>
  <c r="E24" i="9"/>
  <c r="D24" i="9"/>
  <c r="F9" i="9"/>
  <c r="E9" i="9"/>
  <c r="G24" i="9" l="1"/>
  <c r="G30" i="9"/>
  <c r="G8" i="9"/>
  <c r="G26" i="9"/>
  <c r="F23" i="9"/>
  <c r="G9" i="9"/>
  <c r="G22" i="9"/>
  <c r="E21" i="9"/>
  <c r="G21" i="9" s="1"/>
  <c r="E20" i="9"/>
  <c r="G20" i="9" s="1"/>
  <c r="E19" i="9"/>
  <c r="G19" i="9" s="1"/>
  <c r="E18" i="9"/>
  <c r="G18" i="9" s="1"/>
  <c r="E17" i="9"/>
  <c r="G17" i="9" s="1"/>
  <c r="E16" i="9"/>
  <c r="G16" i="9" s="1"/>
  <c r="E15" i="9"/>
  <c r="G15" i="9" s="1"/>
  <c r="F14" i="9"/>
  <c r="E14" i="9"/>
  <c r="E13" i="9"/>
  <c r="G13" i="9" s="1"/>
  <c r="E12" i="9"/>
  <c r="G7" i="9" l="1"/>
  <c r="G23" i="9"/>
  <c r="G14" i="9"/>
  <c r="F11" i="9"/>
  <c r="G12" i="9"/>
  <c r="G11" i="9" l="1"/>
  <c r="G10" i="9" s="1"/>
  <c r="G37" i="9" s="1"/>
  <c r="C4" i="1" s="1"/>
  <c r="F10" i="3"/>
  <c r="E5" i="1" s="1"/>
  <c r="E10" i="3"/>
  <c r="D5" i="1" s="1"/>
  <c r="F10" i="4"/>
  <c r="E6" i="1" s="1"/>
  <c r="E10" i="4"/>
  <c r="D6" i="1" s="1"/>
  <c r="H18" i="5"/>
  <c r="E6" i="7" s="1"/>
  <c r="G18" i="5"/>
  <c r="D6" i="7" s="1"/>
  <c r="H12" i="6"/>
  <c r="E7" i="7" s="1"/>
  <c r="A5" i="1"/>
  <c r="A6" i="1" s="1"/>
  <c r="E7" i="1" l="1"/>
  <c r="E5" i="7" s="1"/>
  <c r="C6" i="7"/>
  <c r="C7" i="1" l="1"/>
  <c r="C5" i="7" s="1"/>
  <c r="D7" i="1"/>
  <c r="E8" i="7"/>
  <c r="E10" i="7" s="1"/>
  <c r="D5" i="7" l="1"/>
  <c r="G12" i="6" l="1"/>
  <c r="C7" i="7" l="1"/>
  <c r="D7" i="7"/>
  <c r="D8" i="7" s="1"/>
  <c r="D10" i="7" l="1"/>
  <c r="C1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tc={2E05AAE9-9601-43D7-B917-DA433268CBC0}</author>
  </authors>
  <commentList>
    <comment ref="B8" authorId="0" shapeId="0" xr:uid="{2E05AAE9-9601-43D7-B917-DA433268CBC0}">
      <text>
        <t>[Threaded comment]
Your version of Excel allows you to read this threaded comment; however, any edits to it will get removed if the file is opened in a newer version of Excel. Learn more: https://go.microsoft.com/fwlink/?linkid=870924
Comment:
    UIT không thu phí quản lý đối với đề tài cấp ĐHQG và cơ sở
Khoản 4=0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tc={0392F579-0367-4B5B-86CB-9E26E25E8D31}</author>
    <author>Author</author>
    <author>tc={47F19F80-4D5A-480F-A3E7-553854830D70}</author>
    <author>Administrator</author>
    <author>tc={A96F0085-688E-495B-88A9-665F3D025392}</author>
    <author>tc={4E69122C-B872-43D8-8F62-8D93154955BB}</author>
    <author>Admin</author>
    <author>hellllooo</author>
  </authors>
  <commentList>
    <comment ref="D2" authorId="0" shapeId="0" xr:uid="{0392F579-0367-4B5B-86CB-9E26E25E8D31}">
      <text>
        <t>[Threaded comment]
Your version of Excel allows you to read this threaded comment; however, any edits to it will get removed if the file is opened in a newer version of Excel. Learn more: https://go.microsoft.com/fwlink/?linkid=870924
Comment:
    Có thể thay đổi, đảm bảo không vượt định mức sau là hợp lệ:
- Đề tài A,B &lt;=40.000.000 đồng
- Đề tài C &lt;=30.000.000 đồng</t>
      </text>
    </comment>
    <comment ref="E2" authorId="1" shapeId="0" xr:uid="{00000000-0006-0000-0200-000001000000}">
      <text>
        <r>
          <rPr>
            <sz val="9"/>
            <color indexed="81"/>
            <rFont val="Tahoma"/>
            <family val="2"/>
          </rPr>
          <t>Định mức thù lao tháng tối đa của chủ nhiệm theo hướng  dẫn của TT03/2023 và của ĐHQG-HCM phù hợp với từng loại đề tài các cấp. Chủ nhiệm chủ động điều chỉnh mức này, đảm bảo không vượt quá quy định.</t>
        </r>
      </text>
    </comment>
    <comment ref="D3" authorId="2" shapeId="0" xr:uid="{47F19F80-4D5A-480F-A3E7-553854830D70}">
      <text>
        <t>[Threaded comment]
Your version of Excel allows you to read this threaded comment; however, any edits to it will get removed if the file is opened in a newer version of Excel. Learn more: https://go.microsoft.com/fwlink/?linkid=870924
Comment:
    Bằng thời gian thực hiện đề tài đăng ký trong thuyết minh, thông thường là: 24, 18, 12 tháng</t>
      </text>
    </comment>
    <comment ref="E3" authorId="3" shapeId="0" xr:uid="{00000000-0006-0000-0200-000002000000}">
      <text>
        <r>
          <rPr>
            <sz val="9"/>
            <color indexed="81"/>
            <rFont val="Tahoma"/>
            <charset val="1"/>
          </rPr>
          <t>Số tháng thực hiện</t>
        </r>
      </text>
    </comment>
    <comment ref="C5" authorId="4" shapeId="0" xr:uid="{A96F0085-688E-495B-88A9-665F3D025392}">
      <text>
        <t>[Threaded comment]
Your version of Excel allows you to read this threaded comment; however, any edits to it will get removed if the file is opened in a newer version of Excel. Learn more: https://go.microsoft.com/fwlink/?linkid=870924
Comment:
    Hệ số cố định, chủ nhiệm không được thay đổi</t>
      </text>
    </comment>
    <comment ref="F5" authorId="5" shapeId="0" xr:uid="{4E69122C-B872-43D8-8F62-8D93154955BB}">
      <text>
        <t>[Threaded comment]
Your version of Excel allows you to read this threaded comment; however, any edits to it will get removed if the file is opened in a newer version of Excel. Learn more: https://go.microsoft.com/fwlink/?linkid=870924
Comment:
    Căn cứ mục B5.3 trong thuyết minh, số tháng=ROUND(số ngày thực tế/22;1)</t>
      </text>
    </comment>
    <comment ref="B8" authorId="6" shapeId="0" xr:uid="{00000000-0006-0000-0200-000003000000}">
      <text>
        <r>
          <rPr>
            <b/>
            <sz val="10"/>
            <color indexed="81"/>
            <rFont val="Tahoma"/>
            <family val="2"/>
          </rPr>
          <t xml:space="preserve">Điều 3. Chức danh thực hiện nhiệm vụ
1. Chủ nhiệm nhiệm vụ
</t>
        </r>
        <r>
          <rPr>
            <sz val="10"/>
            <color indexed="81"/>
            <rFont val="Tahoma"/>
            <family val="2"/>
          </rPr>
          <t>a) Chủ nhiệm nhiệm vụ là người chịu trách nhiệm trước cơ quan quản lý nhiệm vụ trong việc: xây dựng thuyết minh nhiệm vụ; quản lý chung, phân công, điều phối việc thực hiện toàn bộ nội dung nghiên cứu trong nhiệm vụ; đánh giá kết quả thực hiện các nội dung nghiên cứu của nhiệm vụ; xây dựng báo cáo theo yêu cầu của cơ quan quản lý nhiệm vụ, báo cáo tổng hợp, báo cáo tóm tắt kết quả thực hiện nhiệm vụ.
b) Chủ nhiệm nhiệm vụ phải đáp ứng các điều kiện đăng ký làm chủ nhiệm nhiệm vụ có sử dụng ngân sách nhà nước theo quy định hiện hành.
c) Mỗi nhiệm vụ chỉ có một chủ nhiệm nhiệm vụ.</t>
        </r>
      </text>
    </comment>
    <comment ref="B9" authorId="6" shapeId="0" xr:uid="{00000000-0006-0000-0200-000004000000}">
      <text>
        <r>
          <rPr>
            <b/>
            <sz val="10"/>
            <color indexed="81"/>
            <rFont val="Tahoma"/>
            <family val="2"/>
          </rPr>
          <t>2. Thư ký khoa học</t>
        </r>
        <r>
          <rPr>
            <b/>
            <sz val="9"/>
            <color indexed="81"/>
            <rFont val="Tahoma"/>
            <family val="2"/>
          </rPr>
          <t xml:space="preserve">
</t>
        </r>
        <r>
          <rPr>
            <sz val="10"/>
            <color indexed="81"/>
            <rFont val="Tahoma"/>
            <family val="2"/>
          </rPr>
          <t>a) Thư ký khoa học là người hỗ trợ chủ nhiệm nhiệm vụ quản lý, tổ chức thực hiện nhiệm vụ bao gồm việc: hỗ trợ theo dõi đôn đốc tiến độ triển khai nhiệm vụ; hỗ trợ xây dựng các báo cáo theo yêu cầu của cơ quan quản lý nhiệm vụ, báo cáo tổng hợp, báo cáo tóm tắt kết quả thực hiện nhiệm vụ; hỗ trợ công tác thanh quyết toán kinh phí thực hiện nhiệm vụ và các công việc hỗ trợ khác theo phân công của chủ nhiệm nhiệm vụ.
b) Mỗi nhiệm vụ chỉ có một thư ký khoa học.</t>
        </r>
      </text>
    </comment>
    <comment ref="B12" authorId="6" shapeId="0" xr:uid="{00000000-0006-0000-0200-000005000000}">
      <text>
        <r>
          <rPr>
            <b/>
            <sz val="12"/>
            <color indexed="81"/>
            <rFont val="Tahoma"/>
            <family val="2"/>
          </rPr>
          <t xml:space="preserve">3. Thành viên chính
</t>
        </r>
        <r>
          <rPr>
            <sz val="12"/>
            <color indexed="81"/>
            <rFont val="Tahoma"/>
            <family val="2"/>
          </rPr>
          <t>a) Thành viên chính là cá nhân được chủ nhiệm nhiệm vụ phân công chịu trách nhiệm thực hiện đối với từng nội dung nghiên cứu của nhiệm vụ.
b) Trong một nhiệm vụ có nhiều nội dung nghiên cứu. Mỗi nội dung được chủ trì thực hiện bởi tối đa một thành viên chính.</t>
        </r>
      </text>
    </comment>
    <comment ref="B14" authorId="6" shapeId="0" xr:uid="{00000000-0006-0000-0200-000006000000}">
      <text>
        <r>
          <rPr>
            <b/>
            <sz val="9"/>
            <color indexed="81"/>
            <rFont val="Tahoma"/>
            <family val="2"/>
          </rPr>
          <t xml:space="preserve">4. Thành viên
</t>
        </r>
        <r>
          <rPr>
            <sz val="10"/>
            <color indexed="81"/>
            <rFont val="Tahoma"/>
            <family val="2"/>
          </rPr>
          <t xml:space="preserve">
Thành viên thực hiện nhiệm vụ là cá nhân được chủ nhiệm nhiệm vụ phân công tham gia thực hiện các công việc cụ thể trong nội dung nghiên cứu của nhiệm vụ.</t>
        </r>
      </text>
    </comment>
    <comment ref="B18" authorId="6" shapeId="0" xr:uid="{00000000-0006-0000-0200-000007000000}">
      <text>
        <r>
          <rPr>
            <b/>
            <sz val="9"/>
            <color indexed="81"/>
            <rFont val="Tahoma"/>
            <family val="2"/>
          </rPr>
          <t xml:space="preserve">5. Kỹ thuật viên, nhân viên hỗ trợ (không bao gồm lao động phổ thông)
</t>
        </r>
        <r>
          <rPr>
            <sz val="11"/>
            <color indexed="81"/>
            <rFont val="Tahoma"/>
            <family val="2"/>
          </rPr>
          <t>Kỹ thuật viên, nhân viên hỗ trợ là người được chủ nhiệm nhiệm vụ bố trí thực hiện các thao tác kỹ thuật hoặc hoạt động hỗ trợ nghiên cứu để phục vụ thực hiện các công việc cụ thể trong nội dung nghiên cứu theo thuyết minh nhiệm vụ.</t>
        </r>
      </text>
    </comment>
    <comment ref="B22" authorId="6" shapeId="0" xr:uid="{00000000-0006-0000-0200-000008000000}">
      <text>
        <r>
          <rPr>
            <b/>
            <sz val="9"/>
            <color indexed="81"/>
            <rFont val="Tahoma"/>
            <family val="2"/>
          </rPr>
          <t xml:space="preserve">Điều 6. Thuê lao động phổ thông phục vụ triển khai nhiệm vụ
</t>
        </r>
        <r>
          <rPr>
            <sz val="11"/>
            <color indexed="81"/>
            <rFont val="Tahoma"/>
            <family val="2"/>
          </rPr>
          <t xml:space="preserve">
1. Trong trường hợp cần thuê lao động phổ thông phục vụ triển khai nhiệm vụ, tổ chức chủ trì và chủ nhiệm nhiệm vụ căn cứ nội dung yêu cầu công việc cần thuê lao động, thuyết minh kết quả dự kiến của việc thuê lao động và lập dự toán chi tiết trong thuyết minh nhiệm vụ.
2. Định mức thuê lao động phổ thông phục vụ triển khai nhiệm vụ thực hiện theo điểm b khoản 1 Điều 4 Thông tư số 03/2023/TT-BTC. </t>
        </r>
        <r>
          <rPr>
            <u/>
            <sz val="11"/>
            <color indexed="81"/>
            <rFont val="Tahoma"/>
            <family val="2"/>
          </rPr>
          <t>-- b) Tiền công thuê lao động phổ thông hỗ trợ các công việc trong nội dung nghiên cứu (nếu có): Dự toán chi tiền công thuê lao động phổ thông được tính theo mức tiền lương tối thiểu vùng cao nhất tính theo ngày do Nhà nước quy định tại thời điểm xây dựng dự toán thực hiện nhiệm vụ khoa học và công nghệ (mức tiền công thuê theo ngày tính theo mức lương tháng chia cho 22 ngày);</t>
        </r>
        <r>
          <rPr>
            <sz val="9"/>
            <color indexed="81"/>
            <rFont val="Tahoma"/>
            <family val="2"/>
          </rPr>
          <t xml:space="preserve">
</t>
        </r>
      </text>
    </comment>
    <comment ref="E22" authorId="7" shapeId="0" xr:uid="{00000000-0006-0000-0200-000009000000}">
      <text>
        <r>
          <rPr>
            <b/>
            <sz val="9"/>
            <color indexed="81"/>
            <rFont val="Tahoma"/>
            <family val="2"/>
          </rPr>
          <t>mức lương tối thiểu vùng cao nhất 4,68 triệu đồng</t>
        </r>
        <r>
          <rPr>
            <sz val="9"/>
            <color indexed="81"/>
            <rFont val="Tahoma"/>
            <family val="2"/>
          </rPr>
          <t xml:space="preserve">
</t>
        </r>
      </text>
    </comment>
    <comment ref="E34" authorId="7" shapeId="0" xr:uid="{00000000-0006-0000-0200-00000A000000}">
      <text>
        <r>
          <rPr>
            <b/>
            <sz val="9"/>
            <color indexed="81"/>
            <rFont val="Tahoma"/>
            <family val="2"/>
          </rPr>
          <t>mức lương tối thiểu vùng cao nhất 4,68 triệu đồng</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1" authorId="0" shapeId="0" xr:uid="{00000000-0006-0000-0300-000001000000}">
      <text>
        <r>
          <rPr>
            <b/>
            <sz val="9"/>
            <color indexed="81"/>
            <rFont val="Tahoma"/>
            <family val="2"/>
          </rPr>
          <t xml:space="preserve">Điều 7. Thuê chuyên gia trong nước, chuyên gia ngoài nước phối hợp nghiên cứu, thực hiện nhiệm vụ
</t>
        </r>
        <r>
          <rPr>
            <sz val="9"/>
            <color indexed="81"/>
            <rFont val="Tahoma"/>
            <family val="2"/>
          </rPr>
          <t>1. Các trường hợp được thuê chuyên gia phối hợp nghiên cứu, thực hiện nhiệm vụ:
a) Khi nhiệm vụ có các nội dung nghiên cứu cần chuyên gia phối hợp giải quyết;
b) Việc thuê chuyên gia được quy định tại các văn bản pháp luật hiện hành. Trong đó, một số trường hợp cụ thể được thuê chuyên gia như sau:
- Quy định tại điểm d khoản 2 Phần II Quyết định số 157/QĐ-TTg ngày 01 tháng 02 năm 2021 của Thủ tướng Chính phủ ban hành Chương trình phát triển sản phẩm quốc gia đến năm 2030;</t>
        </r>
        <r>
          <rPr>
            <b/>
            <sz val="9"/>
            <color indexed="81"/>
            <rFont val="Tahoma"/>
            <family val="2"/>
          </rPr>
          <t xml:space="preserve">
</t>
        </r>
        <r>
          <rPr>
            <sz val="9"/>
            <color indexed="81"/>
            <rFont val="Tahoma"/>
            <family val="2"/>
          </rPr>
          <t xml:space="preserve">- Quy định tại điểm a khoản 3 Phần II, điểm a khoản 4 Phần II Quyết định số 118/QĐ-TTg ngày 25 tháng 01 năm 2021 của Thủ tướng Chính phủ ban hành Chương trình đổi mới công nghệ quốc gia đến năm 2030;
- Quy định tại điểm b khoản 2 Phần III Quyết định số 130/QĐ-TTg ngày 27 tháng 01 năm 2021 của Thủ tướng Chính phủ ban hành Chương trình quốc gia phát triển công nghệ cao đến năm 2030;
- Quy định tại điểm b khoản 3 Điều 8, điểm b khoản 5 Điều 13, điểm a khoản 1 Điều 14, khoản 3 Điều 27, điểm a khoản 3 Điều 29, điểm đ khoản 2 Điều 30 Nghị định 76/2018/NĐ-CP ngày 15 tháng 5 năm 2018 của Chính phủ quy định chi tiết và hướng dẫn thi hành một số điều của Luật Chuyển giao công nghệ.
2. Trong trường hợp cần thuê chuyên gia theo quy định tại điểm c khoản 2 Điều 4 Thông tư số 03/2023/TT-BTC, tổ chức chủ trì và chủ nhiệm nhiệm vụ căn cứ yêu cầu công việc cần thuê chuyên gia, thuyết minh rõ sự cần thiết và kết quả dự kiến của việc thuê chuyên gia, lập dự toán chi tiết trong thuyết minh nhiệm vụ để hội đồng tuyển chọn, giao trực tiếp thực hiện nhiệm vụ xem xét, đánh giá, trình cơ quan có thẩm quyền phê duyệt nhiệm vụ xem xét, quyết định.
</t>
        </r>
      </text>
    </comment>
    <comment ref="A14" authorId="0" shapeId="0" xr:uid="{00000000-0006-0000-0300-000002000000}">
      <text>
        <r>
          <rPr>
            <b/>
            <sz val="9"/>
            <color indexed="81"/>
            <rFont val="Tahoma"/>
            <family val="2"/>
          </rPr>
          <t xml:space="preserve">…
2. Dự toán thuê chuyên gia trong nước và ngoài nước phối hợp nghiên cứu
</t>
        </r>
        <r>
          <rPr>
            <sz val="9"/>
            <color indexed="81"/>
            <rFont val="Tahoma"/>
            <family val="2"/>
          </rPr>
          <t>a) Thuê chuyên gia trong nước
Trong trường hợp nhiệm vụ khoa học và công nghệ có nhu cầu thuê chuyên gia trong nước, tổ chức chủ trì nhiệm vụ khoa học và công nghệ căn cứ nội dung yêu cầu công việc thuê chuyên gia để thuyết minh rõ cho hội đồng tư vấn đánh giá xem xét, trình cơ quan có thẩm quyền phê duyệt nội dung công việc và dự toán thuê chuyên gia. Căn cứ lập dự toán chi thuê chuyên gia trong nước thực hiện theo mức lương quy định tại Thông tư số 02/2015/TT-BLĐTBXH ngày 12 tháng 01 năm 2015 của Bộ Lao động - Thương binh và Xã hội quy định mức lương đối với chuyên gia tư vấn trong nước làm cơ sở dự toán gói thầu cung cấp dịch vụ tư vấn áp dụng hình thức hợp đồng theo thời gian sử dụng vốn nhà nước.
Tổng dự toán kinh phí thực hiện nội dung chi thuê chuyên gia trong nước không quá 30% tổng dự toán kinh phí chi tiền thù lao thực hiện nhiệm vụ khoa học và công nghệ quy định tại khoản 1 Điều 4 Thông tư này.
Trong trường hợp nhiệm vụ khoa học và công nghệ có tổng dự toán kinh phí thực hiện nội dung chi thuê chuyên gia trong nước vượt quá 30% tổng dự toán kinh phí chi thù lao tham gia thực hiện nhiệm vụ khoa học và công nghệ quy định tại khoản 1 Điều 4 Thông tư này, tổ chức chủ trì thực hiện nhiệm vụ khoa học và công nghệ phải giải trình cụ thể lý do để cơ quan có thẩm quyền phê duyệt nhiệm vụ khoa học và công nghệ có sử dụng ngân sách nhà nước xem xét, quyết định dự toán kinh phí thực hiện nhiệm vụ.</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13" authorId="0" shapeId="0" xr:uid="{00000000-0006-0000-0400-000001000000}">
      <text>
        <r>
          <rPr>
            <b/>
            <sz val="9"/>
            <color indexed="81"/>
            <rFont val="Tahoma"/>
            <family val="2"/>
          </rPr>
          <t xml:space="preserve">b) Thuê chuyên gia ngoài nước- TT03
</t>
        </r>
        <r>
          <rPr>
            <sz val="9"/>
            <color indexed="81"/>
            <rFont val="Tahoma"/>
            <family val="2"/>
          </rPr>
          <t xml:space="preserve">
Trong trường hợp nhiệm vụ khoa học và công nghệ có nhu cầu thuê chuyên gia ngoài nước, tổ chức chủ trì nhiệm vụ khoa học và công nghệ căn cứ nội dung yêu cầu công việc thuê chuyên gia thuyết minh rõ sự cần thiết, kết quả của việc thuê chuyên gia, tiêu chí đánh giá kết quả thuê chuyên gia cho hội đồng tư vấn đánh giá xem xét, trình cơ quan có thẩm quyền phê duyệt theo biên bản thương thảo nội dung yêu cầu công việc và mức thù lao chuyên gia giữa tổ chức đăng ký chủ trì và chuyên gia ngoài nước. Tổng dự toán kinh phí thực hiện nội dung chi thuê chuyên gia ngoài nước không quá 50% tổng dự toán kinh phí chi tiền thù lao thực hiện nhiệm vụ khoa học và công nghệ quy định tại khoản 1 Điều 4 Thông tư này.</t>
        </r>
        <r>
          <rPr>
            <b/>
            <sz val="9"/>
            <color indexed="81"/>
            <rFont val="Tahoma"/>
            <family val="2"/>
          </rPr>
          <t xml:space="preserve">
</t>
        </r>
        <r>
          <rPr>
            <sz val="9"/>
            <color indexed="81"/>
            <rFont val="Tahoma"/>
            <family val="2"/>
          </rPr>
          <t xml:space="preserve">
Trong trường hợp nhiệm vụ khoa học và công nghệ có tổng dự toán kinh phí thực hiện nội dung chi thuê chuyên gia ngoài nước vượt quá 50% tổng dự toán kinh phí chi thù lao tham gia thực hiện nhiệm vụ khoa học và công nghệ quy định tại khoản 1 Điều 4 Thông tư này, tổ chức chủ trì thực hiện nhiệm vụ khoa học và công nghệ phải giải trình cụ thể lý do để cơ quan có thẩm quyền phê duyệt nhiệm vụ khoa học và công nghệ có sử dụng ngân sách nhà nước xem xét, quyết định dự toán kinh phí thực hiện nhiệm vụ.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3" authorId="0" shapeId="0" xr:uid="{00000000-0006-0000-0500-000001000000}">
      <text>
        <r>
          <rPr>
            <b/>
            <sz val="9"/>
            <color indexed="81"/>
            <rFont val="Tahoma"/>
            <family val="2"/>
          </rPr>
          <t>Admin:</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7" authorId="0" shapeId="0" xr:uid="{00000000-0006-0000-0600-000001000000}">
      <text>
        <r>
          <rPr>
            <b/>
            <sz val="10"/>
            <color indexed="81"/>
            <rFont val="Tahoma"/>
            <family val="2"/>
          </rPr>
          <t>Trích TT03</t>
        </r>
        <r>
          <rPr>
            <sz val="10"/>
            <color indexed="81"/>
            <rFont val="Tahoma"/>
            <family val="2"/>
          </rPr>
          <t xml:space="preserve">
5. Dự toán chi điều tra, khảo sát thu thập số liệu được thực hiện theo quy định tại Thông tư số 109/2016/TT-BTC ngày 30 tháng 6 năm 2016 của Bộ Tài chính quy định về lập dự toán, quản lý, sử dụng và quyết toán kinh phí thực hiện các cuộc điều tra thống kê, tổng điều tra thống kê quốc gia và Thông tư số 37/2022/TT-BTC ngày 22 tháng 6 năm 2022 của Bộ Tài chính sửa đổi, bổ sung khoản 9 Điều 3 và Mẫu số 01 kèm theo Thông tư số 109/2016/TT-BTC ngày 30 tháng 6 năm 2016 của Bộ Tài chính.</t>
        </r>
        <r>
          <rPr>
            <sz val="9"/>
            <color indexed="81"/>
            <rFont val="Tahoma"/>
            <family val="2"/>
          </rPr>
          <t xml:space="preserve">
</t>
        </r>
      </text>
    </comment>
    <comment ref="B9" authorId="0" shapeId="0" xr:uid="{00000000-0006-0000-0600-000002000000}">
      <text>
        <r>
          <rPr>
            <b/>
            <sz val="9"/>
            <color indexed="81"/>
            <rFont val="Tahoma"/>
            <family val="2"/>
          </rPr>
          <t>mức chi không quá 50% mức chi cho hội đồng nghiệm thu</t>
        </r>
        <r>
          <rPr>
            <sz val="9"/>
            <color indexed="81"/>
            <rFont val="Tahoma"/>
            <family val="2"/>
          </rPr>
          <t xml:space="preserve">
</t>
        </r>
      </text>
    </comment>
    <comment ref="B10" authorId="0" shapeId="0" xr:uid="{00000000-0006-0000-0600-000003000000}">
      <text>
        <r>
          <rPr>
            <sz val="9"/>
            <color indexed="81"/>
            <rFont val="Tahoma"/>
            <family val="2"/>
          </rPr>
          <t xml:space="preserve">4. Dự toán chi hội nghị, hội thảo khoa học, diễn đàn, tọa đàm khoa học, công tác phí trong nước, hợp tác quốc tế (đoàn ra, đoàn vào) phục vụ hoạt động nghiên cứu: Thực hiện theo các quy định tại Thông tư số 40/2017/TT-BTC ngày 28 tháng 4 năm 2017 của Bộ Tài chính quy định chế độ công tác phí, chế độ chi hội nghị; Thông tư số 71/2018/TT-BTC ngày 10 tháng 8 năm 2018 của Bộ Tài chính quy định chế độ chi tiếp khách nước ngoài vào làm việc tại Việt Nam, chế độ chi tổ chức hội nghị, hội thảo quốc tế tại Việt Nam và chi tiêu tiếp khách trong nước; Thông tư số 102/2012/TT-BTC ngày 21 tháng 6 năm 2012 của Bộ Tài chính quy định chế độ công tác phí cho cán bộ, công chức Nhà nước đi công tác ngắn hạn ở nước ngoài do ngân sách nhà nước bảo đảm kinh phí. Ngoài ra, Thông tư này quy định mức xây dựng dự toán chi thù lao tối đa tham gia hội thảo khoa học, diễn đàn, tọa đàm khoa học như sau:
a) Người chủ trì: 2.000.000 đồng/buổi hội thảo;
b) Thư ký hội thảo khoa học, diễn đàn, tọa đàm khoa học: 500.000 đồng/buổi;
c) Báo cáo viên trình bày tại hội thảo khoa học, diễn đàn, tọa đàm khoa học: 3.000.000 đồng/báo cáo;
d) Báo cáo khoa học được cơ quan tổ chức hội thảo đề nghị viết báo cáo nhưng không trình bày tại hội thảo: 1.500.000 đồng/báo cáo;
đ) Thành viên tham gia hội thảo khoa học, diễn đàn, tọa đàm khoa học: 300.000 đồng/thành viên/buổi.
</t>
        </r>
      </text>
    </comment>
  </commentList>
</comments>
</file>

<file path=xl/sharedStrings.xml><?xml version="1.0" encoding="utf-8"?>
<sst xmlns="http://schemas.openxmlformats.org/spreadsheetml/2006/main" count="222" uniqueCount="125">
  <si>
    <t>Khoản 1: Tiền công lao động trực tiếp và thuê chuyên gia [KHOÁN]</t>
  </si>
  <si>
    <t>TT</t>
  </si>
  <si>
    <t>Nội dung chi</t>
  </si>
  <si>
    <t>Tổng hợp tiền công lao động trực tiếp</t>
  </si>
  <si>
    <t>Tổng kinh phí</t>
  </si>
  <si>
    <t>Từ ĐHQG</t>
  </si>
  <si>
    <t>Từ nguồn huy động</t>
  </si>
  <si>
    <t>Ghi chú</t>
  </si>
  <si>
    <t>Bảng 1.1</t>
  </si>
  <si>
    <t>Bảng 1.2</t>
  </si>
  <si>
    <t>Bảng 1.3</t>
  </si>
  <si>
    <t xml:space="preserve">Tổng hợp tiền công thuê chuyên gia trong nước   </t>
  </si>
  <si>
    <t xml:space="preserve">Tổng hợp tiền công thuê chuyên gia ngoài nước   </t>
  </si>
  <si>
    <t>Họ và tên</t>
  </si>
  <si>
    <t>Tổng cộng</t>
  </si>
  <si>
    <t>Nội dung công việc</t>
  </si>
  <si>
    <t>Đơn vị tính:</t>
  </si>
  <si>
    <t>Đơn vị tính: đồng</t>
  </si>
  <si>
    <t>Khoản 2: Vật tư [KHÔNG KHOÁN]</t>
  </si>
  <si>
    <t>I</t>
  </si>
  <si>
    <t>II</t>
  </si>
  <si>
    <t>Năng lượng, nhiên liệu</t>
  </si>
  <si>
    <t>Than</t>
  </si>
  <si>
    <t>Điện</t>
  </si>
  <si>
    <t>Xăng, dầu</t>
  </si>
  <si>
    <t>Nhiên liệu khác</t>
  </si>
  <si>
    <t>Nước</t>
  </si>
  <si>
    <t>III</t>
  </si>
  <si>
    <t>Tham dự Hội thảo khoa học ngoài nước</t>
  </si>
  <si>
    <t>Khoản 3. Chi khác [KHOÁN]</t>
  </si>
  <si>
    <t>Dụng cụ, vật rẻ tiền mau hỏng</t>
  </si>
  <si>
    <t>Sách, tài liệu, số liệu</t>
  </si>
  <si>
    <t>Chi văn phòng phẩm, thông tin liên lạc, in ấn</t>
  </si>
  <si>
    <t>Điều tra, khảo sát thu thập số liệu</t>
  </si>
  <si>
    <t>Thuê dịch vụ ngoài (phân tích, đo đạc, …)</t>
  </si>
  <si>
    <t>Tham dự Hội thảo khoa học trong nước</t>
  </si>
  <si>
    <t>Các khoản chi phí</t>
  </si>
  <si>
    <t>Khoản 1: Tiền công lao động trực tiếp và thuê chuyên gia</t>
  </si>
  <si>
    <t>Khoản 2: Vật tư</t>
  </si>
  <si>
    <t>Khoản 3: Chi khác</t>
  </si>
  <si>
    <t>Khoản 4: Quản lý chung nhiệm vụ KH&amp;CN</t>
  </si>
  <si>
    <t>Tổng cộng:</t>
  </si>
  <si>
    <r>
      <t xml:space="preserve">Bảng 1.3 Tổng hợp tiền công thuê chuyên gia ngoài nước 
</t>
    </r>
    <r>
      <rPr>
        <sz val="12"/>
        <color rgb="FF0000FF"/>
        <rFont val="Times New Roman"/>
        <family val="1"/>
      </rPr>
      <t>(không quá 50% công lao động trực tiếp bảng 1.1)</t>
    </r>
  </si>
  <si>
    <r>
      <t>C.</t>
    </r>
    <r>
      <rPr>
        <b/>
        <sz val="7"/>
        <color rgb="FF0000FF"/>
        <rFont val="Times New Roman"/>
        <family val="1"/>
      </rPr>
      <t> </t>
    </r>
    <r>
      <rPr>
        <b/>
        <sz val="13"/>
        <color rgb="FF0000FF"/>
        <rFont val="Times New Roman"/>
        <family val="1"/>
      </rPr>
      <t>PHỤ LỤC: GIẢI TRÌNH CÁC KHOẢN CHI</t>
    </r>
  </si>
  <si>
    <t>C8.Tổng hợp kinh phí đề nghị cấp</t>
  </si>
  <si>
    <t>Hệ số lao động khoa học</t>
  </si>
  <si>
    <t>Số người trong nhóm chức danh</t>
  </si>
  <si>
    <t>1. Nhân công lao động khoa học (khoán chi )</t>
  </si>
  <si>
    <t>đồng</t>
  </si>
  <si>
    <t>Số TT</t>
  </si>
  <si>
    <r>
      <t>Định mức thù lao tháng của chủ nhiệm (DM</t>
    </r>
    <r>
      <rPr>
        <b/>
        <vertAlign val="subscript"/>
        <sz val="11"/>
        <color indexed="8"/>
        <rFont val="Times New Roman"/>
        <family val="1"/>
      </rPr>
      <t>CN</t>
    </r>
    <r>
      <rPr>
        <b/>
        <sz val="11"/>
        <color indexed="8"/>
        <rFont val="Times New Roman"/>
        <family val="1"/>
      </rPr>
      <t>)</t>
    </r>
  </si>
  <si>
    <t>Nội dung công việc này chủ nhiệm và thư ký khoa học của nhiệm vụ thực hiện, đã được tính trong thù lao của chủ nhiệm và thư ký khoa học, không tính thù lao riêng.</t>
  </si>
  <si>
    <t>Nội dung nghiên cứu</t>
  </si>
  <si>
    <t>Nội dung 1:...</t>
  </si>
  <si>
    <t>1.1</t>
  </si>
  <si>
    <t>Thù lao lao động phổ thông (số tháng thực hiện quy đổi = số ngày thực hiện/22)</t>
  </si>
  <si>
    <t>1.2</t>
  </si>
  <si>
    <t>2.1</t>
  </si>
  <si>
    <t>2.2</t>
  </si>
  <si>
    <t>Tháng</t>
  </si>
  <si>
    <t>T=</t>
  </si>
  <si>
    <r>
      <t>DM</t>
    </r>
    <r>
      <rPr>
        <b/>
        <vertAlign val="subscript"/>
        <sz val="11"/>
        <color rgb="FFFF0000"/>
        <rFont val="Times New Roman"/>
        <family val="1"/>
      </rPr>
      <t>CN</t>
    </r>
  </si>
  <si>
    <t>Định mức thù lao tháng của chủ nhiệm</t>
  </si>
  <si>
    <t>Thời gian thực hiện</t>
  </si>
  <si>
    <r>
      <rPr>
        <sz val="11"/>
        <color theme="1"/>
        <rFont val="Times New Roman"/>
        <family val="1"/>
      </rPr>
      <t>Thù lao của chủ nhiệm nhiệm vụ:</t>
    </r>
    <r>
      <rPr>
        <b/>
        <sz val="11"/>
        <color theme="1"/>
        <rFont val="Times New Roman"/>
        <family val="1"/>
      </rPr>
      <t xml:space="preserve">
</t>
    </r>
    <r>
      <rPr>
        <sz val="11"/>
        <color theme="1"/>
        <rFont val="Times New Roman"/>
        <family val="1"/>
      </rPr>
      <t>(TLCN = 1,0 x DMCN x 20% x T)</t>
    </r>
  </si>
  <si>
    <t>Thù lao của thư ký khoa học:
(TLTK = 0,3 x DMCN x 20% x T)</t>
  </si>
  <si>
    <t xml:space="preserve">Họ và tên </t>
  </si>
  <si>
    <t>Thù lao thành viên chính (Tối đa 01 người)</t>
  </si>
  <si>
    <t>Thù lao nhóm thành viên</t>
  </si>
  <si>
    <t xml:space="preserve">Họ tên thành viên </t>
  </si>
  <si>
    <t>Thù lao nhóm kỹ thuật viên, nhân viên hỗ trợ</t>
  </si>
  <si>
    <t>Họ tên thành viên</t>
  </si>
  <si>
    <t>Nội dung 2:...</t>
  </si>
  <si>
    <t>2.3</t>
  </si>
  <si>
    <t>Nội dung 3:...</t>
  </si>
  <si>
    <t>…….</t>
  </si>
  <si>
    <t>TỔNG CỘNG (I+II)</t>
  </si>
  <si>
    <t>Xây dựng thuyết minh, báo cáo tổng kết</t>
  </si>
  <si>
    <t>7=3x5x6=8+9</t>
  </si>
  <si>
    <t>Tên vật tư, nguyên vật liệu và quy cách kỹ thuật</t>
  </si>
  <si>
    <t>Đơn vị</t>
  </si>
  <si>
    <t>Số lượng</t>
  </si>
  <si>
    <t>Đơn giá</t>
  </si>
  <si>
    <t>Tổng số tháng quy đổi của chức danh hoặc nhóm chức danh</t>
  </si>
  <si>
    <t>Stt</t>
  </si>
  <si>
    <t>Khoản chi phí</t>
  </si>
  <si>
    <t>Diễn giải</t>
  </si>
  <si>
    <t>Thành tiền (đồng)</t>
  </si>
  <si>
    <t>Số người</t>
  </si>
  <si>
    <r>
      <t xml:space="preserve">Lần </t>
    </r>
    <r>
      <rPr>
        <b/>
        <sz val="6"/>
        <color indexed="8"/>
        <rFont val="Times New Roman"/>
        <family val="1"/>
      </rPr>
      <t>(1)</t>
    </r>
  </si>
  <si>
    <r>
      <t xml:space="preserve">Chi phí/lần (đồng) </t>
    </r>
    <r>
      <rPr>
        <b/>
        <sz val="6"/>
        <color indexed="8"/>
        <rFont val="Times New Roman"/>
        <family val="1"/>
      </rPr>
      <t>(2)</t>
    </r>
    <r>
      <rPr>
        <b/>
        <sz val="11"/>
        <color indexed="8"/>
        <rFont val="Times New Roman"/>
        <family val="1"/>
      </rPr>
      <t xml:space="preserve"> </t>
    </r>
  </si>
  <si>
    <t>A</t>
  </si>
  <si>
    <t>Lần 1 (Đi &lt;công tác/hội nghị&gt; tại &lt;tên địa điểm&gt;)</t>
  </si>
  <si>
    <t>Tàu xe, đi lại</t>
  </si>
  <si>
    <t>Thuê chỗ ở</t>
  </si>
  <si>
    <t>Phụ cấp lưu trú</t>
  </si>
  <si>
    <t>Chi phí khác</t>
  </si>
  <si>
    <t>B</t>
  </si>
  <si>
    <t>Lần 2 (Đi &lt;công tác/hội nghị&gt; tại &lt;tên địa điểm&gt;)</t>
  </si>
  <si>
    <t>C</t>
  </si>
  <si>
    <t>Lần …. (Đi &lt;công tác/hội nghị&gt; tại &lt;tên địa điểm&gt;)</t>
  </si>
  <si>
    <t>Cộng:</t>
  </si>
  <si>
    <t>(1): Số lần có thể là số đêm, số ngày đi công tác</t>
  </si>
  <si>
    <t>(2): Chi phí/lần: chi phí cho 1 vé tàu xe, đi lại,  1 đêm thuê chỗ ở hoặc 1 ngày lưu trú</t>
  </si>
  <si>
    <t>(*): Có thể thêm số lần đi công tác/tham gia hội nghị hội thảo tùy thuộc vào thực tế đề tài</t>
  </si>
  <si>
    <t>Chi tiết Mục 8 tham dự Hội thảo khoa học trong nước (Đi lại, công tác phí)</t>
  </si>
  <si>
    <t>Chi tiết III tham dự Hội thảo khoa học nước ngoài (Đi lại, công tác phí)</t>
  </si>
  <si>
    <t>Tổ chức hội nghị, hội thảo khoa học, diễn đàn, tọa đàm khoa học</t>
  </si>
  <si>
    <t>(*): Căn cứ lập dự toán chi thuê chuyên gia trong nước thực hiện theo mức lương quy định tại Thông tư số 02/2015/TT-BLĐTBXH ngày 12 tháng 01 năm 2015 của Bộ Lao động - Thương binh và Xã hội</t>
  </si>
  <si>
    <r>
      <t>Bảng 1.2 Tổng hợp tiền công thuê chuyên gia trong nước (*)</t>
    </r>
    <r>
      <rPr>
        <sz val="13"/>
        <color rgb="FF0000FF"/>
        <rFont val="Times New Roman"/>
        <family val="1"/>
      </rPr>
      <t xml:space="preserve">
(không quá 30% công lao động trực tiếp bảng 1.1)</t>
    </r>
  </si>
  <si>
    <r>
      <t>- Chuyên gia trong nước, chuyên gia ngoài nước phối hợp nghiên cứu, thực hiện nhiệm vụ khoa học và công nghệ </t>
    </r>
    <r>
      <rPr>
        <i/>
        <sz val="10"/>
        <color rgb="FF000000"/>
        <rFont val="Times New Roman"/>
        <family val="1"/>
      </rPr>
      <t>là người có trình độ từ đại học trở lên, có tối thiểu 5 năm kinh nghiệm nghiên cứu hoặc làm việc trong lĩnh vực chuyên môn phù hợp với công việc cần thực hiện trong nhiệm vụ</t>
    </r>
  </si>
  <si>
    <t>- Căn cứ Điều 7 Thuê chuyên gia trong nước, chuyên gia ngoài nước phối hợp nghiên cứu, thực hiện nhiệm vụ theo Thông tư 02/2023/TT-BKHCN</t>
  </si>
  <si>
    <r>
      <t>(*)</t>
    </r>
    <r>
      <rPr>
        <i/>
        <sz val="12"/>
        <color rgb="FF000000"/>
        <rFont val="Times New Roman"/>
        <family val="1"/>
      </rPr>
      <t xml:space="preserve">  Theo quy định tại Thông tư số 03/2023/TT-BTC của Bộ Tài chính ban hành ngày 10/01/2023 và Thông tư số 02/2023/TT-BKHCN-BKHCN của Bộ Khoa học và Công nghệ ban hành ngày 08/5/2023.</t>
    </r>
  </si>
  <si>
    <t>(Tối đa 5% của tổng 03 khoản trên và không quá 300 triệu đồng)</t>
  </si>
  <si>
    <t xml:space="preserve">- Căn cứ Điều 7 Thuê chuyên gia trong nước, chuyên gia ngoài nước phối hợp nghiên cứu, thực hiện nhiệm vụ theo Thông tư 02/2023/TT-BKHCN
</t>
  </si>
  <si>
    <t>Hội đồng tư vấn tự đánh giá kết quả thực hiện nhiệm vụ KH&amp;CN (nếu có)</t>
  </si>
  <si>
    <t>2.1.1</t>
  </si>
  <si>
    <t>2.1.2</t>
  </si>
  <si>
    <t>2.1.3</t>
  </si>
  <si>
    <t>2.1.4</t>
  </si>
  <si>
    <t>2.2.1</t>
  </si>
  <si>
    <t>2.2.2</t>
  </si>
  <si>
    <t>2.2.3</t>
  </si>
  <si>
    <t>2.2.4</t>
  </si>
  <si>
    <t>Đơn vị: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</si>
</sst>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0"/>
  </numFmts>
  <fonts count="39" x14ac:knownFonts="1">
    <font>
      <sz val="11"/>
      <color theme="1"/>
      <name val="Calibri"/>
      <family val="2"/>
      <scheme val="minor"/>
    </font>
    <font>
      <b/>
      <sz val="13"/>
      <color rgb="FF0000FF"/>
      <name val="Times New Roman"/>
      <family val="1"/>
    </font>
    <font>
      <b/>
      <sz val="11"/>
      <color rgb="FF000000"/>
      <name val="Times New Roman"/>
      <family val="1"/>
    </font>
    <font>
      <sz val="11"/>
      <color rgb="FF000000"/>
      <name val="Times New Roman"/>
      <family val="1"/>
    </font>
    <font>
      <b/>
      <sz val="12"/>
      <color rgb="FF000000"/>
      <name val="Times New Roman"/>
      <family val="1"/>
    </font>
    <font>
      <sz val="12"/>
      <color rgb="FF000000"/>
      <name val="Times New Roman"/>
      <family val="1"/>
    </font>
    <font>
      <i/>
      <sz val="12"/>
      <color rgb="FF000000"/>
      <name val="Times New Roman"/>
      <family val="1"/>
    </font>
    <font>
      <sz val="11"/>
      <color theme="1"/>
      <name val="Times New Roman"/>
      <family val="1"/>
    </font>
    <font>
      <b/>
      <sz val="11"/>
      <color theme="1"/>
      <name val="Times New Roman"/>
      <family val="1"/>
    </font>
    <font>
      <sz val="12"/>
      <color theme="1"/>
      <name val="Times New Roman"/>
      <family val="1"/>
    </font>
    <font>
      <i/>
      <sz val="12"/>
      <color theme="1"/>
      <name val="Times New Roman"/>
      <family val="1"/>
    </font>
    <font>
      <b/>
      <sz val="12"/>
      <color theme="1"/>
      <name val="Times New Roman"/>
      <family val="1"/>
    </font>
    <font>
      <b/>
      <sz val="12"/>
      <color rgb="FF0000FF"/>
      <name val="Times New Roman"/>
      <family val="1"/>
    </font>
    <font>
      <sz val="13"/>
      <color rgb="FF0000FF"/>
      <name val="Times New Roman"/>
      <family val="1"/>
    </font>
    <font>
      <sz val="12"/>
      <color rgb="FF0000FF"/>
      <name val="Times New Roman"/>
      <family val="1"/>
    </font>
    <font>
      <vertAlign val="superscript"/>
      <sz val="12"/>
      <color rgb="FF000000"/>
      <name val="Times New Roman"/>
      <family val="1"/>
    </font>
    <font>
      <b/>
      <sz val="7"/>
      <color rgb="FF0000FF"/>
      <name val="Times New Roman"/>
      <family val="1"/>
    </font>
    <font>
      <sz val="11"/>
      <color theme="1"/>
      <name val="Calibri"/>
      <family val="2"/>
      <scheme val="minor"/>
    </font>
    <font>
      <b/>
      <i/>
      <sz val="11"/>
      <color theme="1"/>
      <name val="Times New Roman"/>
      <family val="1"/>
    </font>
    <font>
      <i/>
      <sz val="11"/>
      <color theme="1"/>
      <name val="Times New Roman"/>
      <family val="1"/>
    </font>
    <font>
      <b/>
      <vertAlign val="subscript"/>
      <sz val="11"/>
      <color indexed="8"/>
      <name val="Times New Roman"/>
      <family val="1"/>
    </font>
    <font>
      <b/>
      <sz val="11"/>
      <color indexed="8"/>
      <name val="Times New Roman"/>
      <family val="1"/>
    </font>
    <font>
      <b/>
      <sz val="9"/>
      <color indexed="81"/>
      <name val="Tahoma"/>
      <family val="2"/>
    </font>
    <font>
      <sz val="9"/>
      <color indexed="81"/>
      <name val="Tahoma"/>
      <family val="2"/>
    </font>
    <font>
      <sz val="9"/>
      <color indexed="81"/>
      <name val="Tahoma"/>
      <charset val="1"/>
    </font>
    <font>
      <sz val="11"/>
      <color rgb="FFFF0000"/>
      <name val="Times New Roman"/>
      <family val="1"/>
    </font>
    <font>
      <b/>
      <sz val="11"/>
      <color rgb="FFFF0000"/>
      <name val="Times New Roman"/>
      <family val="1"/>
    </font>
    <font>
      <i/>
      <sz val="12"/>
      <color rgb="FFFF0000"/>
      <name val="Times New Roman"/>
      <family val="1"/>
    </font>
    <font>
      <b/>
      <vertAlign val="subscript"/>
      <sz val="11"/>
      <color rgb="FFFF0000"/>
      <name val="Times New Roman"/>
      <family val="1"/>
    </font>
    <font>
      <b/>
      <sz val="12"/>
      <color rgb="FFFF0000"/>
      <name val="Times New Roman"/>
      <family val="1"/>
    </font>
    <font>
      <b/>
      <sz val="6"/>
      <color indexed="8"/>
      <name val="Times New Roman"/>
      <family val="1"/>
    </font>
    <font>
      <i/>
      <sz val="10"/>
      <color theme="1"/>
      <name val="Times New Roman"/>
      <family val="1"/>
    </font>
    <font>
      <i/>
      <sz val="10"/>
      <color rgb="FF000000"/>
      <name val="Times New Roman"/>
      <family val="1"/>
    </font>
    <font>
      <b/>
      <sz val="10"/>
      <color indexed="81"/>
      <name val="Tahoma"/>
      <family val="2"/>
    </font>
    <font>
      <sz val="10"/>
      <color indexed="81"/>
      <name val="Tahoma"/>
      <family val="2"/>
    </font>
    <font>
      <sz val="11"/>
      <color indexed="81"/>
      <name val="Tahoma"/>
      <family val="2"/>
    </font>
    <font>
      <b/>
      <sz val="12"/>
      <color indexed="81"/>
      <name val="Tahoma"/>
      <family val="2"/>
    </font>
    <font>
      <sz val="12"/>
      <color indexed="81"/>
      <name val="Tahoma"/>
      <family val="2"/>
    </font>
    <font>
      <u/>
      <sz val="11"/>
      <color indexed="81"/>
      <name val="Tahoma"/>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style="dotted">
        <color indexed="64"/>
      </bottom>
      <diagonal/>
    </border>
    <border>
      <left/>
      <right style="medium">
        <color indexed="64"/>
      </right>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dotted">
        <color indexed="64"/>
      </top>
      <bottom/>
      <diagonal/>
    </border>
    <border>
      <left/>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43" fontId="17" fillId="0" borderId="0" applyFont="0" applyFill="0" applyBorder="0" applyAlignment="0" applyProtection="0"/>
  </cellStyleXfs>
  <cellXfs count="167">
    <xf numFmtId="0" fontId="0" fillId="0" borderId="0" xfId="0"/>
    <xf numFmtId="0" fontId="2" fillId="0" borderId="1" xfId="0" applyFont="1" applyBorder="1" applyAlignment="1">
      <alignment horizontal="center" vertical="center" wrapText="1"/>
    </xf>
    <xf numFmtId="0" fontId="3" fillId="0" borderId="1" xfId="0" applyFont="1" applyBorder="1"/>
    <xf numFmtId="0" fontId="4" fillId="0" borderId="2" xfId="0" applyFont="1" applyBorder="1" applyAlignment="1">
      <alignment horizontal="center" vertical="center" wrapText="1"/>
    </xf>
    <xf numFmtId="0" fontId="7" fillId="0" borderId="0" xfId="0" applyFont="1"/>
    <xf numFmtId="0" fontId="7" fillId="0" borderId="1" xfId="0" applyFont="1" applyBorder="1" applyAlignment="1">
      <alignment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5" fillId="0" borderId="1" xfId="0" applyFont="1" applyBorder="1" applyAlignment="1">
      <alignment horizontal="justify" vertical="center" wrapText="1"/>
    </xf>
    <xf numFmtId="0" fontId="5" fillId="0" borderId="1" xfId="0" applyFont="1" applyBorder="1" applyAlignment="1">
      <alignment horizontal="center" vertical="center" wrapText="1"/>
    </xf>
    <xf numFmtId="0" fontId="7" fillId="0" borderId="1" xfId="0" applyFont="1" applyBorder="1" applyAlignment="1">
      <alignment horizontal="center"/>
    </xf>
    <xf numFmtId="0" fontId="7" fillId="0" borderId="1" xfId="0" applyFont="1" applyBorder="1"/>
    <xf numFmtId="0" fontId="7" fillId="0" borderId="0" xfId="0" applyFont="1" applyAlignment="1">
      <alignment horizontal="center"/>
    </xf>
    <xf numFmtId="0" fontId="8" fillId="0" borderId="1" xfId="0" applyFont="1" applyBorder="1"/>
    <xf numFmtId="0" fontId="12" fillId="0" borderId="0" xfId="0" applyFont="1" applyAlignment="1">
      <alignment horizontal="left" vertical="center"/>
    </xf>
    <xf numFmtId="0" fontId="12" fillId="0" borderId="0" xfId="0" applyFont="1" applyAlignment="1">
      <alignment horizontal="center" vertical="center"/>
    </xf>
    <xf numFmtId="0" fontId="11" fillId="0" borderId="1" xfId="0" applyFont="1" applyBorder="1" applyAlignment="1">
      <alignment horizontal="center" vertical="top"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right" vertical="center" wrapText="1"/>
    </xf>
    <xf numFmtId="0" fontId="9" fillId="0" borderId="0" xfId="0" applyFont="1"/>
    <xf numFmtId="0" fontId="9" fillId="0" borderId="5" xfId="0" applyFont="1" applyBorder="1"/>
    <xf numFmtId="0" fontId="9" fillId="0" borderId="1" xfId="0" applyFont="1" applyBorder="1"/>
    <xf numFmtId="0" fontId="9" fillId="0" borderId="1" xfId="0" applyFont="1" applyBorder="1" applyAlignment="1">
      <alignment horizontal="center"/>
    </xf>
    <xf numFmtId="0" fontId="11" fillId="0" borderId="1" xfId="0" applyFont="1" applyBorder="1"/>
    <xf numFmtId="0" fontId="9" fillId="0" borderId="0" xfId="0" applyFont="1" applyAlignment="1">
      <alignment horizontal="center"/>
    </xf>
    <xf numFmtId="0" fontId="11" fillId="0" borderId="6" xfId="0" applyFont="1" applyBorder="1" applyAlignment="1">
      <alignment horizontal="center" vertical="top" wrapText="1"/>
    </xf>
    <xf numFmtId="0" fontId="4" fillId="0" borderId="1" xfId="0" applyFont="1" applyBorder="1" applyAlignment="1">
      <alignment horizontal="center" vertical="center" wrapText="1"/>
    </xf>
    <xf numFmtId="0" fontId="9" fillId="0" borderId="1" xfId="0" applyFont="1" applyBorder="1" applyAlignment="1">
      <alignment wrapText="1"/>
    </xf>
    <xf numFmtId="0" fontId="5" fillId="0" borderId="1" xfId="0" applyFont="1" applyBorder="1"/>
    <xf numFmtId="0" fontId="10" fillId="0" borderId="0" xfId="0" applyFont="1"/>
    <xf numFmtId="0" fontId="4" fillId="2" borderId="1"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justify"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4" xfId="0" applyFont="1" applyBorder="1" applyAlignment="1">
      <alignment horizontal="justify" vertical="center" wrapText="1"/>
    </xf>
    <xf numFmtId="0" fontId="4" fillId="0" borderId="7" xfId="0" applyFont="1" applyBorder="1" applyAlignment="1">
      <alignment horizontal="center" vertical="center" wrapText="1"/>
    </xf>
    <xf numFmtId="0" fontId="4" fillId="0" borderId="8" xfId="0" applyFont="1" applyBorder="1" applyAlignment="1">
      <alignment horizontal="right" vertical="center" wrapText="1"/>
    </xf>
    <xf numFmtId="0" fontId="4" fillId="0" borderId="8" xfId="0" applyFont="1" applyBorder="1" applyAlignment="1">
      <alignment horizontal="center" vertical="center" wrapText="1"/>
    </xf>
    <xf numFmtId="0" fontId="1" fillId="0" borderId="0" xfId="0" applyFont="1" applyAlignment="1">
      <alignment horizontal="left" vertical="center" indent="3"/>
    </xf>
    <xf numFmtId="164" fontId="9" fillId="0" borderId="1" xfId="1" applyNumberFormat="1" applyFont="1" applyBorder="1"/>
    <xf numFmtId="164" fontId="11" fillId="0" borderId="1" xfId="1" applyNumberFormat="1" applyFont="1" applyBorder="1"/>
    <xf numFmtId="164" fontId="9" fillId="0" borderId="0" xfId="0" applyNumberFormat="1" applyFont="1" applyAlignment="1">
      <alignment horizontal="right" vertical="center"/>
    </xf>
    <xf numFmtId="164" fontId="4" fillId="0" borderId="8" xfId="1" applyNumberFormat="1" applyFont="1" applyBorder="1" applyAlignment="1">
      <alignment horizontal="center" vertical="center" wrapText="1"/>
    </xf>
    <xf numFmtId="164" fontId="5" fillId="0" borderId="11" xfId="1" applyNumberFormat="1" applyFont="1" applyBorder="1" applyAlignment="1">
      <alignment horizontal="center" vertical="center" wrapText="1"/>
    </xf>
    <xf numFmtId="164" fontId="19" fillId="0" borderId="1" xfId="1" applyNumberFormat="1" applyFont="1" applyFill="1" applyBorder="1" applyAlignment="1">
      <alignment horizontal="center" vertical="center" wrapText="1"/>
    </xf>
    <xf numFmtId="164" fontId="8" fillId="0" borderId="1" xfId="1" applyNumberFormat="1" applyFont="1" applyFill="1" applyBorder="1" applyAlignment="1">
      <alignment horizontal="right" vertical="center" wrapText="1"/>
    </xf>
    <xf numFmtId="164" fontId="18"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right" vertical="center" wrapText="1"/>
    </xf>
    <xf numFmtId="164" fontId="7" fillId="0" borderId="1" xfId="1" applyNumberFormat="1" applyFont="1" applyFill="1" applyBorder="1" applyAlignment="1">
      <alignment horizontal="right" vertical="center" wrapText="1"/>
    </xf>
    <xf numFmtId="164" fontId="7" fillId="0" borderId="0" xfId="1" applyNumberFormat="1" applyFont="1" applyFill="1" applyAlignment="1">
      <alignment vertical="center" wrapText="1"/>
    </xf>
    <xf numFmtId="164" fontId="8" fillId="0" borderId="1" xfId="1" applyNumberFormat="1" applyFont="1" applyFill="1" applyBorder="1" applyAlignment="1">
      <alignment vertical="center" wrapText="1"/>
    </xf>
    <xf numFmtId="164" fontId="7" fillId="0" borderId="1" xfId="1" applyNumberFormat="1" applyFont="1" applyFill="1" applyBorder="1" applyAlignment="1">
      <alignment vertical="center" wrapText="1"/>
    </xf>
    <xf numFmtId="164" fontId="26" fillId="0" borderId="0" xfId="1" applyNumberFormat="1" applyFont="1" applyFill="1" applyAlignment="1">
      <alignment vertical="center" wrapText="1"/>
    </xf>
    <xf numFmtId="164" fontId="25" fillId="0" borderId="0" xfId="1" applyNumberFormat="1" applyFont="1" applyFill="1" applyAlignment="1">
      <alignment vertical="center" wrapText="1"/>
    </xf>
    <xf numFmtId="1" fontId="5" fillId="0" borderId="11" xfId="0" applyNumberFormat="1" applyFont="1" applyBorder="1" applyAlignment="1">
      <alignment horizontal="right" vertical="center" wrapText="1"/>
    </xf>
    <xf numFmtId="0" fontId="8" fillId="3" borderId="1" xfId="0" applyFont="1" applyFill="1" applyBorder="1" applyAlignment="1" applyProtection="1">
      <alignment horizontal="left" vertical="center" wrapText="1"/>
      <protection locked="0"/>
    </xf>
    <xf numFmtId="0" fontId="8" fillId="3" borderId="5" xfId="0" applyFont="1" applyFill="1" applyBorder="1" applyAlignment="1" applyProtection="1">
      <alignment horizontal="left" vertical="center" wrapText="1"/>
      <protection locked="0"/>
    </xf>
    <xf numFmtId="0" fontId="11" fillId="0" borderId="5" xfId="0" applyFont="1" applyBorder="1" applyAlignment="1">
      <alignment vertical="center" wrapText="1"/>
    </xf>
    <xf numFmtId="0" fontId="9" fillId="0" borderId="5" xfId="0" applyFont="1" applyBorder="1" applyAlignment="1">
      <alignment vertical="center" wrapText="1"/>
    </xf>
    <xf numFmtId="0" fontId="29" fillId="0" borderId="6" xfId="0" applyFont="1" applyBorder="1" applyAlignment="1">
      <alignment horizontal="center" vertical="top" wrapText="1"/>
    </xf>
    <xf numFmtId="164" fontId="7" fillId="0" borderId="1" xfId="1" applyNumberFormat="1" applyFont="1" applyBorder="1"/>
    <xf numFmtId="164" fontId="8" fillId="0" borderId="1" xfId="0" applyNumberFormat="1" applyFont="1" applyBorder="1"/>
    <xf numFmtId="164" fontId="9" fillId="0" borderId="5" xfId="1" applyNumberFormat="1" applyFont="1" applyBorder="1"/>
    <xf numFmtId="164" fontId="11" fillId="0" borderId="5" xfId="1" applyNumberFormat="1" applyFont="1" applyBorder="1"/>
    <xf numFmtId="164" fontId="11" fillId="0" borderId="5" xfId="1" applyNumberFormat="1" applyFont="1" applyBorder="1" applyAlignment="1">
      <alignment vertical="center" wrapText="1"/>
    </xf>
    <xf numFmtId="164" fontId="9" fillId="0" borderId="5" xfId="1" applyNumberFormat="1" applyFont="1" applyBorder="1" applyAlignment="1">
      <alignment vertical="center" wrapText="1"/>
    </xf>
    <xf numFmtId="0" fontId="26" fillId="3" borderId="1" xfId="0" applyFont="1" applyFill="1" applyBorder="1" applyAlignment="1" applyProtection="1">
      <alignment horizontal="center" vertical="top" wrapText="1"/>
      <protection locked="0"/>
    </xf>
    <xf numFmtId="3" fontId="26" fillId="3" borderId="1" xfId="0" applyNumberFormat="1" applyFont="1" applyFill="1" applyBorder="1" applyAlignment="1" applyProtection="1">
      <alignment horizontal="center" vertical="top" wrapText="1"/>
      <protection locked="0"/>
    </xf>
    <xf numFmtId="0" fontId="8" fillId="3" borderId="5" xfId="0" applyFont="1" applyFill="1" applyBorder="1" applyAlignment="1" applyProtection="1">
      <alignment horizontal="center" vertical="center" wrapText="1"/>
      <protection locked="0"/>
    </xf>
    <xf numFmtId="0" fontId="11" fillId="0" borderId="5" xfId="0" applyFont="1" applyBorder="1" applyAlignment="1">
      <alignment horizontal="center" vertical="center" wrapText="1"/>
    </xf>
    <xf numFmtId="0" fontId="9" fillId="0" borderId="5" xfId="0" applyFont="1" applyBorder="1" applyAlignment="1">
      <alignment horizontal="center" vertical="center" wrapText="1"/>
    </xf>
    <xf numFmtId="164" fontId="5" fillId="0" borderId="1" xfId="1" applyNumberFormat="1" applyFont="1" applyBorder="1" applyAlignment="1">
      <alignment horizontal="justify" vertical="center" wrapText="1"/>
    </xf>
    <xf numFmtId="164" fontId="9" fillId="0" borderId="1" xfId="0" applyNumberFormat="1" applyFont="1" applyBorder="1" applyAlignment="1">
      <alignment vertical="center"/>
    </xf>
    <xf numFmtId="0" fontId="9" fillId="0" borderId="1" xfId="0" applyFont="1" applyBorder="1" applyAlignment="1">
      <alignment vertical="center"/>
    </xf>
    <xf numFmtId="164" fontId="5" fillId="0" borderId="11" xfId="1" applyNumberFormat="1" applyFont="1" applyBorder="1" applyAlignment="1">
      <alignment horizontal="right" vertical="center" wrapText="1"/>
    </xf>
    <xf numFmtId="0" fontId="8"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43" fontId="7" fillId="3" borderId="1" xfId="0" applyNumberFormat="1" applyFont="1" applyFill="1" applyBorder="1" applyAlignment="1">
      <alignment vertical="center" wrapText="1"/>
    </xf>
    <xf numFmtId="0" fontId="7" fillId="3" borderId="1" xfId="0" applyFont="1" applyFill="1" applyBorder="1" applyAlignment="1">
      <alignment vertical="center" wrapText="1"/>
    </xf>
    <xf numFmtId="43" fontId="7" fillId="3" borderId="1" xfId="0" applyNumberFormat="1" applyFont="1" applyFill="1" applyBorder="1" applyAlignment="1">
      <alignment horizontal="center" vertical="center" wrapText="1"/>
    </xf>
    <xf numFmtId="43" fontId="9" fillId="0" borderId="1" xfId="0" applyNumberFormat="1" applyFont="1" applyBorder="1" applyAlignment="1">
      <alignment vertical="center"/>
    </xf>
    <xf numFmtId="0" fontId="7" fillId="0" borderId="0" xfId="0" applyFont="1" applyAlignment="1">
      <alignment horizontal="left"/>
    </xf>
    <xf numFmtId="0" fontId="5" fillId="0" borderId="15" xfId="0" applyFont="1" applyBorder="1" applyAlignment="1">
      <alignment horizontal="center" vertical="center" wrapText="1"/>
    </xf>
    <xf numFmtId="0" fontId="5" fillId="0" borderId="13" xfId="0" applyFont="1" applyBorder="1" applyAlignment="1">
      <alignment horizontal="center" vertical="center" wrapText="1"/>
    </xf>
    <xf numFmtId="0" fontId="27" fillId="0" borderId="14" xfId="0" applyFont="1" applyBorder="1" applyAlignment="1">
      <alignment horizontal="justify" vertical="center" wrapText="1"/>
    </xf>
    <xf numFmtId="164" fontId="5" fillId="0" borderId="15" xfId="1" applyNumberFormat="1" applyFont="1" applyBorder="1" applyAlignment="1">
      <alignment vertical="center" wrapText="1"/>
    </xf>
    <xf numFmtId="164" fontId="5" fillId="0" borderId="17" xfId="1" applyNumberFormat="1" applyFont="1" applyBorder="1" applyAlignment="1">
      <alignment vertical="center" wrapText="1"/>
    </xf>
    <xf numFmtId="0" fontId="5" fillId="0" borderId="15" xfId="0" applyFont="1" applyBorder="1" applyAlignment="1">
      <alignment horizontal="center" vertical="center" wrapText="1"/>
    </xf>
    <xf numFmtId="0" fontId="5" fillId="0" borderId="13" xfId="0" applyFont="1" applyBorder="1" applyAlignment="1">
      <alignment horizontal="center" vertical="center" wrapText="1"/>
    </xf>
    <xf numFmtId="0" fontId="15" fillId="0" borderId="16" xfId="0" applyFont="1" applyBorder="1" applyAlignment="1">
      <alignment horizontal="left" vertical="center" wrapText="1"/>
    </xf>
    <xf numFmtId="0" fontId="12" fillId="0" borderId="0" xfId="0" applyFont="1" applyAlignment="1">
      <alignment horizontal="left" vertical="center"/>
    </xf>
    <xf numFmtId="0" fontId="31" fillId="0" borderId="0" xfId="0" quotePrefix="1" applyFont="1" applyAlignment="1">
      <alignment horizontal="left" vertical="top" wrapText="1"/>
    </xf>
    <xf numFmtId="0" fontId="6" fillId="0" borderId="2" xfId="0" applyFont="1" applyBorder="1" applyAlignment="1">
      <alignment horizontal="center" vertical="center" wrapText="1"/>
    </xf>
    <xf numFmtId="0" fontId="1" fillId="0" borderId="0" xfId="0" applyFont="1" applyAlignment="1">
      <alignment horizontal="left" vertical="center" wrapText="1"/>
    </xf>
    <xf numFmtId="0" fontId="8" fillId="0" borderId="3" xfId="0" applyFont="1" applyBorder="1" applyAlignment="1">
      <alignment horizontal="center" wrapText="1"/>
    </xf>
    <xf numFmtId="0" fontId="8" fillId="0" borderId="5" xfId="0" applyFont="1" applyBorder="1" applyAlignment="1">
      <alignment horizontal="center" wrapText="1"/>
    </xf>
    <xf numFmtId="0" fontId="31" fillId="0" borderId="0" xfId="0" applyFont="1" applyAlignment="1">
      <alignment horizontal="left" vertical="top" wrapText="1"/>
    </xf>
    <xf numFmtId="0" fontId="12" fillId="0" borderId="0" xfId="0" applyFont="1" applyAlignment="1">
      <alignment horizontal="left" vertical="center" wrapText="1"/>
    </xf>
    <xf numFmtId="0" fontId="11" fillId="0" borderId="3" xfId="0" applyFont="1" applyBorder="1" applyAlignment="1">
      <alignment horizontal="center"/>
    </xf>
    <xf numFmtId="0" fontId="11" fillId="0" borderId="5" xfId="0" applyFont="1" applyBorder="1" applyAlignment="1">
      <alignment horizontal="center"/>
    </xf>
    <xf numFmtId="0" fontId="10" fillId="0" borderId="2" xfId="0" applyFont="1" applyBorder="1" applyAlignment="1">
      <alignment horizont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11" fillId="3" borderId="0" xfId="0" applyFont="1" applyFill="1" applyAlignment="1">
      <alignment horizontal="center" vertical="center"/>
    </xf>
    <xf numFmtId="0" fontId="0" fillId="3" borderId="0" xfId="0" applyFill="1" applyAlignment="1">
      <alignment horizontal="center" vertical="center"/>
    </xf>
    <xf numFmtId="0" fontId="7" fillId="0" borderId="0" xfId="0" applyFont="1" applyAlignment="1">
      <alignment horizontal="left"/>
    </xf>
    <xf numFmtId="0" fontId="8" fillId="3" borderId="6"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3" borderId="1" xfId="0" applyFont="1" applyFill="1" applyBorder="1" applyAlignment="1">
      <alignment horizontal="right" vertical="center" wrapText="1"/>
    </xf>
    <xf numFmtId="0" fontId="8" fillId="3" borderId="1" xfId="0" applyFont="1" applyFill="1" applyBorder="1" applyAlignment="1">
      <alignment horizontal="center" vertical="center" wrapText="1"/>
    </xf>
    <xf numFmtId="0" fontId="12" fillId="0" borderId="0" xfId="0" applyFont="1" applyAlignment="1">
      <alignment horizontal="left"/>
    </xf>
    <xf numFmtId="0" fontId="10" fillId="0" borderId="2" xfId="0" applyFont="1" applyBorder="1" applyAlignment="1">
      <alignment horizontal="right"/>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11" fillId="0" borderId="0" xfId="0" applyFont="1" applyFill="1" applyAlignment="1">
      <alignment horizontal="center" vertical="center" wrapText="1"/>
    </xf>
    <xf numFmtId="0" fontId="11" fillId="0" borderId="0" xfId="0" applyFont="1" applyFill="1" applyAlignment="1">
      <alignment vertical="center" wrapText="1"/>
    </xf>
    <xf numFmtId="0" fontId="7" fillId="0" borderId="0" xfId="0" applyFont="1" applyFill="1" applyAlignment="1">
      <alignment vertical="center" wrapText="1"/>
    </xf>
    <xf numFmtId="0" fontId="25" fillId="0" borderId="0" xfId="0" applyFont="1" applyFill="1" applyAlignment="1">
      <alignment horizontal="center" vertical="center" wrapText="1"/>
    </xf>
    <xf numFmtId="0" fontId="26" fillId="0" borderId="0" xfId="0" applyFont="1" applyFill="1" applyAlignment="1">
      <alignment horizontal="right" vertical="center"/>
    </xf>
    <xf numFmtId="0" fontId="26" fillId="0" borderId="0" xfId="0" applyFont="1" applyFill="1" applyAlignment="1">
      <alignment horizontal="right" vertical="center"/>
    </xf>
    <xf numFmtId="164" fontId="26" fillId="0" borderId="0" xfId="1" applyNumberFormat="1" applyFont="1" applyFill="1" applyBorder="1" applyAlignment="1">
      <alignment vertical="center" wrapText="1"/>
    </xf>
    <xf numFmtId="0" fontId="25" fillId="0" borderId="0" xfId="0" applyFont="1" applyFill="1" applyAlignment="1">
      <alignment horizontal="left" vertical="center" wrapText="1"/>
    </xf>
    <xf numFmtId="164" fontId="25" fillId="0" borderId="0" xfId="1" applyNumberFormat="1" applyFont="1" applyFill="1" applyBorder="1" applyAlignment="1">
      <alignment vertical="center" wrapText="1"/>
    </xf>
    <xf numFmtId="0" fontId="25" fillId="0" borderId="0" xfId="0" applyFont="1" applyFill="1" applyAlignment="1">
      <alignment vertical="center" wrapText="1"/>
    </xf>
    <xf numFmtId="0" fontId="27" fillId="0" borderId="0" xfId="0" applyFont="1" applyFill="1" applyAlignment="1">
      <alignment horizontal="center" vertical="center" wrapText="1"/>
    </xf>
    <xf numFmtId="0" fontId="26" fillId="0" borderId="2" xfId="0" applyFont="1" applyFill="1" applyBorder="1" applyAlignment="1">
      <alignment horizontal="right" vertical="center"/>
    </xf>
    <xf numFmtId="0" fontId="8" fillId="0"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8" fillId="0" borderId="1" xfId="0" applyFont="1" applyFill="1" applyBorder="1" applyAlignment="1">
      <alignment vertical="center" wrapText="1"/>
    </xf>
    <xf numFmtId="0" fontId="7" fillId="0" borderId="3" xfId="0"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5" xfId="0" applyFont="1" applyFill="1" applyBorder="1" applyAlignment="1">
      <alignment horizontal="left" vertical="center" wrapText="1"/>
    </xf>
    <xf numFmtId="0" fontId="7" fillId="0" borderId="1" xfId="0" applyFont="1" applyFill="1" applyBorder="1" applyAlignment="1">
      <alignment horizontal="center" vertical="center" wrapText="1"/>
    </xf>
    <xf numFmtId="164" fontId="7" fillId="0" borderId="1" xfId="0" applyNumberFormat="1" applyFont="1" applyFill="1" applyBorder="1" applyAlignment="1">
      <alignment vertical="center" wrapText="1"/>
    </xf>
    <xf numFmtId="43" fontId="7" fillId="0" borderId="1" xfId="1" applyFont="1" applyFill="1" applyBorder="1" applyAlignment="1">
      <alignment vertical="center" wrapText="1"/>
    </xf>
    <xf numFmtId="0" fontId="8" fillId="0" borderId="1" xfId="0" applyFont="1" applyFill="1" applyBorder="1" applyAlignment="1">
      <alignment horizontal="right" vertical="center" wrapText="1"/>
    </xf>
    <xf numFmtId="0" fontId="18" fillId="0" borderId="1" xfId="0" applyFont="1" applyFill="1" applyBorder="1" applyAlignment="1">
      <alignment horizontal="center" vertical="center" wrapText="1"/>
    </xf>
    <xf numFmtId="0" fontId="7" fillId="0" borderId="1" xfId="0" applyFont="1" applyFill="1" applyBorder="1" applyAlignment="1">
      <alignment horizontal="right" vertical="center" wrapText="1"/>
    </xf>
    <xf numFmtId="0" fontId="18" fillId="0" borderId="1" xfId="0" applyFont="1" applyFill="1" applyBorder="1" applyAlignment="1">
      <alignment vertical="center" wrapText="1"/>
    </xf>
    <xf numFmtId="164" fontId="18" fillId="0" borderId="1" xfId="0" applyNumberFormat="1" applyFont="1" applyFill="1" applyBorder="1" applyAlignment="1">
      <alignment horizontal="right" vertical="center" wrapText="1"/>
    </xf>
    <xf numFmtId="0" fontId="18" fillId="0" borderId="0" xfId="0" applyFont="1" applyFill="1" applyAlignment="1">
      <alignment vertical="center" wrapText="1"/>
    </xf>
    <xf numFmtId="164" fontId="7" fillId="0" borderId="1" xfId="0" applyNumberFormat="1" applyFont="1" applyFill="1" applyBorder="1" applyAlignment="1">
      <alignment horizontal="right" vertical="center" wrapText="1"/>
    </xf>
    <xf numFmtId="0" fontId="18" fillId="0" borderId="1" xfId="0" quotePrefix="1" applyFont="1" applyFill="1" applyBorder="1" applyAlignment="1">
      <alignment horizontal="center" vertical="center" wrapText="1"/>
    </xf>
    <xf numFmtId="164" fontId="18" fillId="0" borderId="1" xfId="0" applyNumberFormat="1" applyFont="1" applyFill="1" applyBorder="1" applyAlignment="1">
      <alignment vertical="center" wrapText="1"/>
    </xf>
    <xf numFmtId="165" fontId="18" fillId="0" borderId="1" xfId="0" applyNumberFormat="1" applyFont="1" applyFill="1" applyBorder="1" applyAlignment="1">
      <alignment vertical="center" wrapText="1"/>
    </xf>
    <xf numFmtId="164" fontId="7" fillId="0" borderId="0" xfId="0" applyNumberFormat="1" applyFont="1" applyFill="1" applyAlignment="1">
      <alignment vertical="center" wrapText="1"/>
    </xf>
    <xf numFmtId="0" fontId="9" fillId="0" borderId="1"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7" fillId="0" borderId="0" xfId="0" applyFont="1" applyFill="1" applyAlignment="1">
      <alignment horizontal="center" vertical="center" wrapText="1"/>
    </xf>
    <xf numFmtId="0" fontId="8" fillId="4" borderId="1" xfId="0" applyFont="1" applyFill="1" applyBorder="1" applyAlignment="1">
      <alignment horizontal="center" vertical="center" wrapText="1"/>
    </xf>
    <xf numFmtId="164" fontId="8" fillId="4" borderId="1" xfId="1" applyNumberFormat="1" applyFont="1" applyFill="1" applyBorder="1" applyAlignment="1">
      <alignment horizontal="center" vertical="center" wrapText="1"/>
    </xf>
    <xf numFmtId="0" fontId="25" fillId="0" borderId="2"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ương Thị Hồng" id="{BF392101-F115-4887-A1B9-4000D984327F}" userId="S::hongdt@hcmuit.edu.vn::1337a036-6944-4871-ba9d-b3d11f377d1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 dT="2024-09-04T02:20:30.39" personId="{BF392101-F115-4887-A1B9-4000D984327F}" id="{2E05AAE9-9601-43D7-B917-DA433268CBC0}">
    <text>UIT không thu phí quản lý đối với đề tài cấp ĐHQG và cơ sở
Khoản 4=0</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4-09-04T02:04:35.40" personId="{BF392101-F115-4887-A1B9-4000D984327F}" id="{0392F579-0367-4B5B-86CB-9E26E25E8D31}">
    <text>Có thể thay đổi, đảm bảo không vượt định mức sau là hợp lệ:
- Đề tài A,B &lt;=40.000.000 đồng
- Đề tài C &lt;=30.000.000 đồng</text>
  </threadedComment>
  <threadedComment ref="D3" dT="2024-09-04T02:05:58.49" personId="{BF392101-F115-4887-A1B9-4000D984327F}" id="{47F19F80-4D5A-480F-A3E7-553854830D70}">
    <text>Bằng thời gian thực hiện đề tài đăng ký trong thuyết minh, thông thường là: 24, 18, 12 tháng</text>
  </threadedComment>
  <threadedComment ref="C5" dT="2024-09-04T02:07:12.96" personId="{BF392101-F115-4887-A1B9-4000D984327F}" id="{A96F0085-688E-495B-88A9-665F3D025392}">
    <text>Hệ số cố định, chủ nhiệm không được thay đổi</text>
  </threadedComment>
  <threadedComment ref="F5" dT="2024-09-04T02:08:54.82" personId="{BF392101-F115-4887-A1B9-4000D984327F}" id="{4E69122C-B872-43D8-8F62-8D93154955BB}">
    <text>Căn cứ mục B5.3 trong thuyết minh, số tháng=ROUND(số ngày thực tế/22;1)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zoomScale="130" zoomScaleNormal="130" zoomScaleSheetLayoutView="115" workbookViewId="0">
      <selection activeCell="G11" sqref="G11"/>
    </sheetView>
  </sheetViews>
  <sheetFormatPr defaultColWidth="9.28515625" defaultRowHeight="15.75" x14ac:dyDescent="0.25"/>
  <cols>
    <col min="1" max="1" width="5.28515625" style="21" customWidth="1"/>
    <col min="2" max="2" width="41.7109375" style="21" customWidth="1"/>
    <col min="3" max="3" width="15.42578125" style="21" customWidth="1"/>
    <col min="4" max="4" width="16" style="21" bestFit="1" customWidth="1"/>
    <col min="5" max="5" width="13.7109375" style="21" customWidth="1"/>
    <col min="6" max="16384" width="9.28515625" style="21"/>
  </cols>
  <sheetData>
    <row r="1" spans="1:5" ht="16.5" x14ac:dyDescent="0.25">
      <c r="A1" s="44" t="s">
        <v>43</v>
      </c>
    </row>
    <row r="2" spans="1:5" x14ac:dyDescent="0.25">
      <c r="A2" s="14" t="s">
        <v>44</v>
      </c>
    </row>
    <row r="3" spans="1:5" ht="16.5" thickBot="1" x14ac:dyDescent="0.3"/>
    <row r="4" spans="1:5" ht="32.25" thickBot="1" x14ac:dyDescent="0.3">
      <c r="A4" s="33" t="s">
        <v>1</v>
      </c>
      <c r="B4" s="34" t="s">
        <v>36</v>
      </c>
      <c r="C4" s="34" t="s">
        <v>4</v>
      </c>
      <c r="D4" s="34" t="s">
        <v>5</v>
      </c>
      <c r="E4" s="35" t="s">
        <v>6</v>
      </c>
    </row>
    <row r="5" spans="1:5" ht="31.5" x14ac:dyDescent="0.25">
      <c r="A5" s="36">
        <v>1</v>
      </c>
      <c r="B5" s="37" t="s">
        <v>37</v>
      </c>
      <c r="C5" s="49">
        <f>'Kh1'!C7</f>
        <v>313752000</v>
      </c>
      <c r="D5" s="49">
        <f>'Kh1'!D7</f>
        <v>0</v>
      </c>
      <c r="E5" s="39">
        <f>'Kh1'!E7</f>
        <v>0</v>
      </c>
    </row>
    <row r="6" spans="1:5" x14ac:dyDescent="0.25">
      <c r="A6" s="36">
        <v>2</v>
      </c>
      <c r="B6" s="37" t="s">
        <v>38</v>
      </c>
      <c r="C6" s="80">
        <f>'Kh2'!F18</f>
        <v>0</v>
      </c>
      <c r="D6" s="60">
        <f>'Kh2'!G18</f>
        <v>0</v>
      </c>
      <c r="E6" s="38">
        <f>'Kh2'!H18</f>
        <v>0</v>
      </c>
    </row>
    <row r="7" spans="1:5" x14ac:dyDescent="0.25">
      <c r="A7" s="36">
        <v>3</v>
      </c>
      <c r="B7" s="37" t="s">
        <v>39</v>
      </c>
      <c r="C7" s="49">
        <f>'Kh3'!F12</f>
        <v>0</v>
      </c>
      <c r="D7" s="49">
        <f>'Kh3'!G12</f>
        <v>0</v>
      </c>
      <c r="E7" s="38">
        <f>'Kh3'!H12</f>
        <v>0</v>
      </c>
    </row>
    <row r="8" spans="1:5" x14ac:dyDescent="0.25">
      <c r="A8" s="93">
        <v>4</v>
      </c>
      <c r="B8" s="40" t="s">
        <v>40</v>
      </c>
      <c r="C8" s="91">
        <v>0</v>
      </c>
      <c r="D8" s="91">
        <f>5%*(D5+D6+D7)</f>
        <v>0</v>
      </c>
      <c r="E8" s="88">
        <f t="shared" ref="E8" si="0">5%*(E5+E6+E7)</f>
        <v>0</v>
      </c>
    </row>
    <row r="9" spans="1:5" ht="32.25" thickBot="1" x14ac:dyDescent="0.3">
      <c r="A9" s="94"/>
      <c r="B9" s="90" t="s">
        <v>113</v>
      </c>
      <c r="C9" s="92"/>
      <c r="D9" s="92"/>
      <c r="E9" s="89"/>
    </row>
    <row r="10" spans="1:5" ht="16.5" thickBot="1" x14ac:dyDescent="0.3">
      <c r="A10" s="41"/>
      <c r="B10" s="42" t="s">
        <v>41</v>
      </c>
      <c r="C10" s="48">
        <f>SUM(C5:C9)</f>
        <v>313752000</v>
      </c>
      <c r="D10" s="48">
        <f t="shared" ref="D10:E10" si="1">SUM(D5:D9)</f>
        <v>0</v>
      </c>
      <c r="E10" s="43">
        <f t="shared" si="1"/>
        <v>0</v>
      </c>
    </row>
    <row r="11" spans="1:5" ht="56.25" customHeight="1" x14ac:dyDescent="0.25">
      <c r="B11" s="95" t="s">
        <v>112</v>
      </c>
      <c r="C11" s="95"/>
      <c r="D11" s="95"/>
      <c r="E11" s="95"/>
    </row>
  </sheetData>
  <mergeCells count="2">
    <mergeCell ref="A8:A9"/>
    <mergeCell ref="B11:E11"/>
  </mergeCells>
  <pageMargins left="0.7" right="0.7" top="0.75" bottom="0.75" header="0.3" footer="0.3"/>
  <pageSetup orientation="portrait"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view="pageBreakPreview" zoomScaleNormal="100" zoomScaleSheetLayoutView="100" workbookViewId="0">
      <selection activeCell="E12" sqref="E12"/>
    </sheetView>
  </sheetViews>
  <sheetFormatPr defaultColWidth="9.28515625" defaultRowHeight="15.75" x14ac:dyDescent="0.25"/>
  <cols>
    <col min="1" max="1" width="3.7109375" style="26" bestFit="1" customWidth="1"/>
    <col min="2" max="2" width="37.85546875" style="21" customWidth="1"/>
    <col min="3" max="3" width="14.28515625" style="21" customWidth="1"/>
    <col min="4" max="4" width="13.7109375" style="21" customWidth="1"/>
    <col min="5" max="5" width="10.7109375" style="21" customWidth="1"/>
    <col min="6" max="6" width="9.7109375" style="21" customWidth="1"/>
    <col min="7" max="16384" width="9.28515625" style="21"/>
  </cols>
  <sheetData>
    <row r="1" spans="1:6" x14ac:dyDescent="0.25">
      <c r="A1" s="96" t="s">
        <v>0</v>
      </c>
      <c r="B1" s="96"/>
      <c r="C1" s="96"/>
      <c r="D1" s="96"/>
      <c r="E1" s="96"/>
      <c r="F1" s="96"/>
    </row>
    <row r="2" spans="1:6" x14ac:dyDescent="0.25">
      <c r="A2" s="15"/>
      <c r="E2" s="31" t="s">
        <v>16</v>
      </c>
    </row>
    <row r="3" spans="1:6" ht="31.5" x14ac:dyDescent="0.25">
      <c r="A3" s="32" t="s">
        <v>1</v>
      </c>
      <c r="B3" s="32" t="s">
        <v>2</v>
      </c>
      <c r="C3" s="32" t="s">
        <v>4</v>
      </c>
      <c r="D3" s="32" t="s">
        <v>5</v>
      </c>
      <c r="E3" s="32" t="s">
        <v>6</v>
      </c>
      <c r="F3" s="32" t="s">
        <v>7</v>
      </c>
    </row>
    <row r="4" spans="1:6" x14ac:dyDescent="0.25">
      <c r="A4" s="9">
        <v>1</v>
      </c>
      <c r="B4" s="8" t="s">
        <v>3</v>
      </c>
      <c r="C4" s="45">
        <f>'B1.1'!G37</f>
        <v>313752000</v>
      </c>
      <c r="D4" s="45">
        <f>'B1.1'!H37</f>
        <v>0</v>
      </c>
      <c r="E4" s="45">
        <f>'B1.1'!I37</f>
        <v>0</v>
      </c>
      <c r="F4" s="9" t="s">
        <v>8</v>
      </c>
    </row>
    <row r="5" spans="1:6" ht="31.5" x14ac:dyDescent="0.25">
      <c r="A5" s="9">
        <f>A4+1</f>
        <v>2</v>
      </c>
      <c r="B5" s="8" t="s">
        <v>11</v>
      </c>
      <c r="C5" s="23">
        <f>'B1.2'!D10</f>
        <v>0</v>
      </c>
      <c r="D5" s="23">
        <f>'B1.2'!E10</f>
        <v>0</v>
      </c>
      <c r="E5" s="23">
        <f>'B1.2'!F10</f>
        <v>0</v>
      </c>
      <c r="F5" s="9" t="s">
        <v>9</v>
      </c>
    </row>
    <row r="6" spans="1:6" ht="31.5" x14ac:dyDescent="0.25">
      <c r="A6" s="9">
        <f>A5+1</f>
        <v>3</v>
      </c>
      <c r="B6" s="8" t="s">
        <v>12</v>
      </c>
      <c r="C6" s="23">
        <f>'B1.3'!D10</f>
        <v>0</v>
      </c>
      <c r="D6" s="23">
        <f>'B1.3'!E10</f>
        <v>0</v>
      </c>
      <c r="E6" s="23">
        <f>'B1.3'!F10</f>
        <v>0</v>
      </c>
      <c r="F6" s="9" t="s">
        <v>10</v>
      </c>
    </row>
    <row r="7" spans="1:6" x14ac:dyDescent="0.25">
      <c r="A7" s="24"/>
      <c r="B7" s="20" t="s">
        <v>14</v>
      </c>
      <c r="C7" s="46">
        <f>SUM(C4:C6)</f>
        <v>313752000</v>
      </c>
      <c r="D7" s="46">
        <f>SUM(D4:D6)</f>
        <v>0</v>
      </c>
      <c r="E7" s="25">
        <f>SUM(E4:E6)</f>
        <v>0</v>
      </c>
      <c r="F7" s="25"/>
    </row>
  </sheetData>
  <mergeCells count="1">
    <mergeCell ref="A1:F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7"/>
  <sheetViews>
    <sheetView tabSelected="1" topLeftCell="A8" zoomScale="85" zoomScaleNormal="85" workbookViewId="0">
      <selection activeCell="O7" sqref="O7"/>
    </sheetView>
  </sheetViews>
  <sheetFormatPr defaultRowHeight="15" outlineLevelRow="1" x14ac:dyDescent="0.25"/>
  <cols>
    <col min="1" max="1" width="7.42578125" style="163" customWidth="1"/>
    <col min="2" max="2" width="43.7109375" style="128" customWidth="1"/>
    <col min="3" max="3" width="11.140625" style="163" customWidth="1"/>
    <col min="4" max="4" width="12.28515625" style="163" customWidth="1"/>
    <col min="5" max="5" width="13.140625" style="128" customWidth="1"/>
    <col min="6" max="6" width="13.140625" style="163" customWidth="1"/>
    <col min="7" max="7" width="16" style="55" customWidth="1"/>
    <col min="8" max="8" width="14.28515625" style="128" customWidth="1"/>
    <col min="9" max="9" width="8.85546875" style="128"/>
    <col min="10" max="10" width="13.7109375" style="128" bestFit="1" customWidth="1"/>
    <col min="11" max="11" width="14.42578125" style="128" customWidth="1"/>
    <col min="12" max="256" width="8.85546875" style="128"/>
    <col min="257" max="257" width="7.42578125" style="128" customWidth="1"/>
    <col min="258" max="258" width="43.7109375" style="128" customWidth="1"/>
    <col min="259" max="259" width="11.140625" style="128" customWidth="1"/>
    <col min="260" max="260" width="12.28515625" style="128" customWidth="1"/>
    <col min="261" max="262" width="13.140625" style="128" customWidth="1"/>
    <col min="263" max="263" width="14.42578125" style="128" customWidth="1"/>
    <col min="264" max="265" width="8.85546875" style="128"/>
    <col min="266" max="266" width="13.7109375" style="128" bestFit="1" customWidth="1"/>
    <col min="267" max="267" width="14.42578125" style="128" customWidth="1"/>
    <col min="268" max="512" width="8.85546875" style="128"/>
    <col min="513" max="513" width="7.42578125" style="128" customWidth="1"/>
    <col min="514" max="514" width="43.7109375" style="128" customWidth="1"/>
    <col min="515" max="515" width="11.140625" style="128" customWidth="1"/>
    <col min="516" max="516" width="12.28515625" style="128" customWidth="1"/>
    <col min="517" max="518" width="13.140625" style="128" customWidth="1"/>
    <col min="519" max="519" width="14.42578125" style="128" customWidth="1"/>
    <col min="520" max="521" width="8.85546875" style="128"/>
    <col min="522" max="522" width="13.7109375" style="128" bestFit="1" customWidth="1"/>
    <col min="523" max="523" width="14.42578125" style="128" customWidth="1"/>
    <col min="524" max="768" width="8.85546875" style="128"/>
    <col min="769" max="769" width="7.42578125" style="128" customWidth="1"/>
    <col min="770" max="770" width="43.7109375" style="128" customWidth="1"/>
    <col min="771" max="771" width="11.140625" style="128" customWidth="1"/>
    <col min="772" max="772" width="12.28515625" style="128" customWidth="1"/>
    <col min="773" max="774" width="13.140625" style="128" customWidth="1"/>
    <col min="775" max="775" width="14.42578125" style="128" customWidth="1"/>
    <col min="776" max="777" width="8.85546875" style="128"/>
    <col min="778" max="778" width="13.7109375" style="128" bestFit="1" customWidth="1"/>
    <col min="779" max="779" width="14.42578125" style="128" customWidth="1"/>
    <col min="780" max="1024" width="8.85546875" style="128"/>
    <col min="1025" max="1025" width="7.42578125" style="128" customWidth="1"/>
    <col min="1026" max="1026" width="43.7109375" style="128" customWidth="1"/>
    <col min="1027" max="1027" width="11.140625" style="128" customWidth="1"/>
    <col min="1028" max="1028" width="12.28515625" style="128" customWidth="1"/>
    <col min="1029" max="1030" width="13.140625" style="128" customWidth="1"/>
    <col min="1031" max="1031" width="14.42578125" style="128" customWidth="1"/>
    <col min="1032" max="1033" width="8.85546875" style="128"/>
    <col min="1034" max="1034" width="13.7109375" style="128" bestFit="1" customWidth="1"/>
    <col min="1035" max="1035" width="14.42578125" style="128" customWidth="1"/>
    <col min="1036" max="1280" width="8.85546875" style="128"/>
    <col min="1281" max="1281" width="7.42578125" style="128" customWidth="1"/>
    <col min="1282" max="1282" width="43.7109375" style="128" customWidth="1"/>
    <col min="1283" max="1283" width="11.140625" style="128" customWidth="1"/>
    <col min="1284" max="1284" width="12.28515625" style="128" customWidth="1"/>
    <col min="1285" max="1286" width="13.140625" style="128" customWidth="1"/>
    <col min="1287" max="1287" width="14.42578125" style="128" customWidth="1"/>
    <col min="1288" max="1289" width="8.85546875" style="128"/>
    <col min="1290" max="1290" width="13.7109375" style="128" bestFit="1" customWidth="1"/>
    <col min="1291" max="1291" width="14.42578125" style="128" customWidth="1"/>
    <col min="1292" max="1536" width="8.85546875" style="128"/>
    <col min="1537" max="1537" width="7.42578125" style="128" customWidth="1"/>
    <col min="1538" max="1538" width="43.7109375" style="128" customWidth="1"/>
    <col min="1539" max="1539" width="11.140625" style="128" customWidth="1"/>
    <col min="1540" max="1540" width="12.28515625" style="128" customWidth="1"/>
    <col min="1541" max="1542" width="13.140625" style="128" customWidth="1"/>
    <col min="1543" max="1543" width="14.42578125" style="128" customWidth="1"/>
    <col min="1544" max="1545" width="8.85546875" style="128"/>
    <col min="1546" max="1546" width="13.7109375" style="128" bestFit="1" customWidth="1"/>
    <col min="1547" max="1547" width="14.42578125" style="128" customWidth="1"/>
    <col min="1548" max="1792" width="8.85546875" style="128"/>
    <col min="1793" max="1793" width="7.42578125" style="128" customWidth="1"/>
    <col min="1794" max="1794" width="43.7109375" style="128" customWidth="1"/>
    <col min="1795" max="1795" width="11.140625" style="128" customWidth="1"/>
    <col min="1796" max="1796" width="12.28515625" style="128" customWidth="1"/>
    <col min="1797" max="1798" width="13.140625" style="128" customWidth="1"/>
    <col min="1799" max="1799" width="14.42578125" style="128" customWidth="1"/>
    <col min="1800" max="1801" width="8.85546875" style="128"/>
    <col min="1802" max="1802" width="13.7109375" style="128" bestFit="1" customWidth="1"/>
    <col min="1803" max="1803" width="14.42578125" style="128" customWidth="1"/>
    <col min="1804" max="2048" width="8.85546875" style="128"/>
    <col min="2049" max="2049" width="7.42578125" style="128" customWidth="1"/>
    <col min="2050" max="2050" width="43.7109375" style="128" customWidth="1"/>
    <col min="2051" max="2051" width="11.140625" style="128" customWidth="1"/>
    <col min="2052" max="2052" width="12.28515625" style="128" customWidth="1"/>
    <col min="2053" max="2054" width="13.140625" style="128" customWidth="1"/>
    <col min="2055" max="2055" width="14.42578125" style="128" customWidth="1"/>
    <col min="2056" max="2057" width="8.85546875" style="128"/>
    <col min="2058" max="2058" width="13.7109375" style="128" bestFit="1" customWidth="1"/>
    <col min="2059" max="2059" width="14.42578125" style="128" customWidth="1"/>
    <col min="2060" max="2304" width="8.85546875" style="128"/>
    <col min="2305" max="2305" width="7.42578125" style="128" customWidth="1"/>
    <col min="2306" max="2306" width="43.7109375" style="128" customWidth="1"/>
    <col min="2307" max="2307" width="11.140625" style="128" customWidth="1"/>
    <col min="2308" max="2308" width="12.28515625" style="128" customWidth="1"/>
    <col min="2309" max="2310" width="13.140625" style="128" customWidth="1"/>
    <col min="2311" max="2311" width="14.42578125" style="128" customWidth="1"/>
    <col min="2312" max="2313" width="8.85546875" style="128"/>
    <col min="2314" max="2314" width="13.7109375" style="128" bestFit="1" customWidth="1"/>
    <col min="2315" max="2315" width="14.42578125" style="128" customWidth="1"/>
    <col min="2316" max="2560" width="8.85546875" style="128"/>
    <col min="2561" max="2561" width="7.42578125" style="128" customWidth="1"/>
    <col min="2562" max="2562" width="43.7109375" style="128" customWidth="1"/>
    <col min="2563" max="2563" width="11.140625" style="128" customWidth="1"/>
    <col min="2564" max="2564" width="12.28515625" style="128" customWidth="1"/>
    <col min="2565" max="2566" width="13.140625" style="128" customWidth="1"/>
    <col min="2567" max="2567" width="14.42578125" style="128" customWidth="1"/>
    <col min="2568" max="2569" width="8.85546875" style="128"/>
    <col min="2570" max="2570" width="13.7109375" style="128" bestFit="1" customWidth="1"/>
    <col min="2571" max="2571" width="14.42578125" style="128" customWidth="1"/>
    <col min="2572" max="2816" width="8.85546875" style="128"/>
    <col min="2817" max="2817" width="7.42578125" style="128" customWidth="1"/>
    <col min="2818" max="2818" width="43.7109375" style="128" customWidth="1"/>
    <col min="2819" max="2819" width="11.140625" style="128" customWidth="1"/>
    <col min="2820" max="2820" width="12.28515625" style="128" customWidth="1"/>
    <col min="2821" max="2822" width="13.140625" style="128" customWidth="1"/>
    <col min="2823" max="2823" width="14.42578125" style="128" customWidth="1"/>
    <col min="2824" max="2825" width="8.85546875" style="128"/>
    <col min="2826" max="2826" width="13.7109375" style="128" bestFit="1" customWidth="1"/>
    <col min="2827" max="2827" width="14.42578125" style="128" customWidth="1"/>
    <col min="2828" max="3072" width="8.85546875" style="128"/>
    <col min="3073" max="3073" width="7.42578125" style="128" customWidth="1"/>
    <col min="3074" max="3074" width="43.7109375" style="128" customWidth="1"/>
    <col min="3075" max="3075" width="11.140625" style="128" customWidth="1"/>
    <col min="3076" max="3076" width="12.28515625" style="128" customWidth="1"/>
    <col min="3077" max="3078" width="13.140625" style="128" customWidth="1"/>
    <col min="3079" max="3079" width="14.42578125" style="128" customWidth="1"/>
    <col min="3080" max="3081" width="8.85546875" style="128"/>
    <col min="3082" max="3082" width="13.7109375" style="128" bestFit="1" customWidth="1"/>
    <col min="3083" max="3083" width="14.42578125" style="128" customWidth="1"/>
    <col min="3084" max="3328" width="8.85546875" style="128"/>
    <col min="3329" max="3329" width="7.42578125" style="128" customWidth="1"/>
    <col min="3330" max="3330" width="43.7109375" style="128" customWidth="1"/>
    <col min="3331" max="3331" width="11.140625" style="128" customWidth="1"/>
    <col min="3332" max="3332" width="12.28515625" style="128" customWidth="1"/>
    <col min="3333" max="3334" width="13.140625" style="128" customWidth="1"/>
    <col min="3335" max="3335" width="14.42578125" style="128" customWidth="1"/>
    <col min="3336" max="3337" width="8.85546875" style="128"/>
    <col min="3338" max="3338" width="13.7109375" style="128" bestFit="1" customWidth="1"/>
    <col min="3339" max="3339" width="14.42578125" style="128" customWidth="1"/>
    <col min="3340" max="3584" width="8.85546875" style="128"/>
    <col min="3585" max="3585" width="7.42578125" style="128" customWidth="1"/>
    <col min="3586" max="3586" width="43.7109375" style="128" customWidth="1"/>
    <col min="3587" max="3587" width="11.140625" style="128" customWidth="1"/>
    <col min="3588" max="3588" width="12.28515625" style="128" customWidth="1"/>
    <col min="3589" max="3590" width="13.140625" style="128" customWidth="1"/>
    <col min="3591" max="3591" width="14.42578125" style="128" customWidth="1"/>
    <col min="3592" max="3593" width="8.85546875" style="128"/>
    <col min="3594" max="3594" width="13.7109375" style="128" bestFit="1" customWidth="1"/>
    <col min="3595" max="3595" width="14.42578125" style="128" customWidth="1"/>
    <col min="3596" max="3840" width="8.85546875" style="128"/>
    <col min="3841" max="3841" width="7.42578125" style="128" customWidth="1"/>
    <col min="3842" max="3842" width="43.7109375" style="128" customWidth="1"/>
    <col min="3843" max="3843" width="11.140625" style="128" customWidth="1"/>
    <col min="3844" max="3844" width="12.28515625" style="128" customWidth="1"/>
    <col min="3845" max="3846" width="13.140625" style="128" customWidth="1"/>
    <col min="3847" max="3847" width="14.42578125" style="128" customWidth="1"/>
    <col min="3848" max="3849" width="8.85546875" style="128"/>
    <col min="3850" max="3850" width="13.7109375" style="128" bestFit="1" customWidth="1"/>
    <col min="3851" max="3851" width="14.42578125" style="128" customWidth="1"/>
    <col min="3852" max="4096" width="8.85546875" style="128"/>
    <col min="4097" max="4097" width="7.42578125" style="128" customWidth="1"/>
    <col min="4098" max="4098" width="43.7109375" style="128" customWidth="1"/>
    <col min="4099" max="4099" width="11.140625" style="128" customWidth="1"/>
    <col min="4100" max="4100" width="12.28515625" style="128" customWidth="1"/>
    <col min="4101" max="4102" width="13.140625" style="128" customWidth="1"/>
    <col min="4103" max="4103" width="14.42578125" style="128" customWidth="1"/>
    <col min="4104" max="4105" width="8.85546875" style="128"/>
    <col min="4106" max="4106" width="13.7109375" style="128" bestFit="1" customWidth="1"/>
    <col min="4107" max="4107" width="14.42578125" style="128" customWidth="1"/>
    <col min="4108" max="4352" width="8.85546875" style="128"/>
    <col min="4353" max="4353" width="7.42578125" style="128" customWidth="1"/>
    <col min="4354" max="4354" width="43.7109375" style="128" customWidth="1"/>
    <col min="4355" max="4355" width="11.140625" style="128" customWidth="1"/>
    <col min="4356" max="4356" width="12.28515625" style="128" customWidth="1"/>
    <col min="4357" max="4358" width="13.140625" style="128" customWidth="1"/>
    <col min="4359" max="4359" width="14.42578125" style="128" customWidth="1"/>
    <col min="4360" max="4361" width="8.85546875" style="128"/>
    <col min="4362" max="4362" width="13.7109375" style="128" bestFit="1" customWidth="1"/>
    <col min="4363" max="4363" width="14.42578125" style="128" customWidth="1"/>
    <col min="4364" max="4608" width="8.85546875" style="128"/>
    <col min="4609" max="4609" width="7.42578125" style="128" customWidth="1"/>
    <col min="4610" max="4610" width="43.7109375" style="128" customWidth="1"/>
    <col min="4611" max="4611" width="11.140625" style="128" customWidth="1"/>
    <col min="4612" max="4612" width="12.28515625" style="128" customWidth="1"/>
    <col min="4613" max="4614" width="13.140625" style="128" customWidth="1"/>
    <col min="4615" max="4615" width="14.42578125" style="128" customWidth="1"/>
    <col min="4616" max="4617" width="8.85546875" style="128"/>
    <col min="4618" max="4618" width="13.7109375" style="128" bestFit="1" customWidth="1"/>
    <col min="4619" max="4619" width="14.42578125" style="128" customWidth="1"/>
    <col min="4620" max="4864" width="8.85546875" style="128"/>
    <col min="4865" max="4865" width="7.42578125" style="128" customWidth="1"/>
    <col min="4866" max="4866" width="43.7109375" style="128" customWidth="1"/>
    <col min="4867" max="4867" width="11.140625" style="128" customWidth="1"/>
    <col min="4868" max="4868" width="12.28515625" style="128" customWidth="1"/>
    <col min="4869" max="4870" width="13.140625" style="128" customWidth="1"/>
    <col min="4871" max="4871" width="14.42578125" style="128" customWidth="1"/>
    <col min="4872" max="4873" width="8.85546875" style="128"/>
    <col min="4874" max="4874" width="13.7109375" style="128" bestFit="1" customWidth="1"/>
    <col min="4875" max="4875" width="14.42578125" style="128" customWidth="1"/>
    <col min="4876" max="5120" width="8.85546875" style="128"/>
    <col min="5121" max="5121" width="7.42578125" style="128" customWidth="1"/>
    <col min="5122" max="5122" width="43.7109375" style="128" customWidth="1"/>
    <col min="5123" max="5123" width="11.140625" style="128" customWidth="1"/>
    <col min="5124" max="5124" width="12.28515625" style="128" customWidth="1"/>
    <col min="5125" max="5126" width="13.140625" style="128" customWidth="1"/>
    <col min="5127" max="5127" width="14.42578125" style="128" customWidth="1"/>
    <col min="5128" max="5129" width="8.85546875" style="128"/>
    <col min="5130" max="5130" width="13.7109375" style="128" bestFit="1" customWidth="1"/>
    <col min="5131" max="5131" width="14.42578125" style="128" customWidth="1"/>
    <col min="5132" max="5376" width="8.85546875" style="128"/>
    <col min="5377" max="5377" width="7.42578125" style="128" customWidth="1"/>
    <col min="5378" max="5378" width="43.7109375" style="128" customWidth="1"/>
    <col min="5379" max="5379" width="11.140625" style="128" customWidth="1"/>
    <col min="5380" max="5380" width="12.28515625" style="128" customWidth="1"/>
    <col min="5381" max="5382" width="13.140625" style="128" customWidth="1"/>
    <col min="5383" max="5383" width="14.42578125" style="128" customWidth="1"/>
    <col min="5384" max="5385" width="8.85546875" style="128"/>
    <col min="5386" max="5386" width="13.7109375" style="128" bestFit="1" customWidth="1"/>
    <col min="5387" max="5387" width="14.42578125" style="128" customWidth="1"/>
    <col min="5388" max="5632" width="8.85546875" style="128"/>
    <col min="5633" max="5633" width="7.42578125" style="128" customWidth="1"/>
    <col min="5634" max="5634" width="43.7109375" style="128" customWidth="1"/>
    <col min="5635" max="5635" width="11.140625" style="128" customWidth="1"/>
    <col min="5636" max="5636" width="12.28515625" style="128" customWidth="1"/>
    <col min="5637" max="5638" width="13.140625" style="128" customWidth="1"/>
    <col min="5639" max="5639" width="14.42578125" style="128" customWidth="1"/>
    <col min="5640" max="5641" width="8.85546875" style="128"/>
    <col min="5642" max="5642" width="13.7109375" style="128" bestFit="1" customWidth="1"/>
    <col min="5643" max="5643" width="14.42578125" style="128" customWidth="1"/>
    <col min="5644" max="5888" width="8.85546875" style="128"/>
    <col min="5889" max="5889" width="7.42578125" style="128" customWidth="1"/>
    <col min="5890" max="5890" width="43.7109375" style="128" customWidth="1"/>
    <col min="5891" max="5891" width="11.140625" style="128" customWidth="1"/>
    <col min="5892" max="5892" width="12.28515625" style="128" customWidth="1"/>
    <col min="5893" max="5894" width="13.140625" style="128" customWidth="1"/>
    <col min="5895" max="5895" width="14.42578125" style="128" customWidth="1"/>
    <col min="5896" max="5897" width="8.85546875" style="128"/>
    <col min="5898" max="5898" width="13.7109375" style="128" bestFit="1" customWidth="1"/>
    <col min="5899" max="5899" width="14.42578125" style="128" customWidth="1"/>
    <col min="5900" max="6144" width="8.85546875" style="128"/>
    <col min="6145" max="6145" width="7.42578125" style="128" customWidth="1"/>
    <col min="6146" max="6146" width="43.7109375" style="128" customWidth="1"/>
    <col min="6147" max="6147" width="11.140625" style="128" customWidth="1"/>
    <col min="6148" max="6148" width="12.28515625" style="128" customWidth="1"/>
    <col min="6149" max="6150" width="13.140625" style="128" customWidth="1"/>
    <col min="6151" max="6151" width="14.42578125" style="128" customWidth="1"/>
    <col min="6152" max="6153" width="8.85546875" style="128"/>
    <col min="6154" max="6154" width="13.7109375" style="128" bestFit="1" customWidth="1"/>
    <col min="6155" max="6155" width="14.42578125" style="128" customWidth="1"/>
    <col min="6156" max="6400" width="8.85546875" style="128"/>
    <col min="6401" max="6401" width="7.42578125" style="128" customWidth="1"/>
    <col min="6402" max="6402" width="43.7109375" style="128" customWidth="1"/>
    <col min="6403" max="6403" width="11.140625" style="128" customWidth="1"/>
    <col min="6404" max="6404" width="12.28515625" style="128" customWidth="1"/>
    <col min="6405" max="6406" width="13.140625" style="128" customWidth="1"/>
    <col min="6407" max="6407" width="14.42578125" style="128" customWidth="1"/>
    <col min="6408" max="6409" width="8.85546875" style="128"/>
    <col min="6410" max="6410" width="13.7109375" style="128" bestFit="1" customWidth="1"/>
    <col min="6411" max="6411" width="14.42578125" style="128" customWidth="1"/>
    <col min="6412" max="6656" width="8.85546875" style="128"/>
    <col min="6657" max="6657" width="7.42578125" style="128" customWidth="1"/>
    <col min="6658" max="6658" width="43.7109375" style="128" customWidth="1"/>
    <col min="6659" max="6659" width="11.140625" style="128" customWidth="1"/>
    <col min="6660" max="6660" width="12.28515625" style="128" customWidth="1"/>
    <col min="6661" max="6662" width="13.140625" style="128" customWidth="1"/>
    <col min="6663" max="6663" width="14.42578125" style="128" customWidth="1"/>
    <col min="6664" max="6665" width="8.85546875" style="128"/>
    <col min="6666" max="6666" width="13.7109375" style="128" bestFit="1" customWidth="1"/>
    <col min="6667" max="6667" width="14.42578125" style="128" customWidth="1"/>
    <col min="6668" max="6912" width="8.85546875" style="128"/>
    <col min="6913" max="6913" width="7.42578125" style="128" customWidth="1"/>
    <col min="6914" max="6914" width="43.7109375" style="128" customWidth="1"/>
    <col min="6915" max="6915" width="11.140625" style="128" customWidth="1"/>
    <col min="6916" max="6916" width="12.28515625" style="128" customWidth="1"/>
    <col min="6917" max="6918" width="13.140625" style="128" customWidth="1"/>
    <col min="6919" max="6919" width="14.42578125" style="128" customWidth="1"/>
    <col min="6920" max="6921" width="8.85546875" style="128"/>
    <col min="6922" max="6922" width="13.7109375" style="128" bestFit="1" customWidth="1"/>
    <col min="6923" max="6923" width="14.42578125" style="128" customWidth="1"/>
    <col min="6924" max="7168" width="8.85546875" style="128"/>
    <col min="7169" max="7169" width="7.42578125" style="128" customWidth="1"/>
    <col min="7170" max="7170" width="43.7109375" style="128" customWidth="1"/>
    <col min="7171" max="7171" width="11.140625" style="128" customWidth="1"/>
    <col min="7172" max="7172" width="12.28515625" style="128" customWidth="1"/>
    <col min="7173" max="7174" width="13.140625" style="128" customWidth="1"/>
    <col min="7175" max="7175" width="14.42578125" style="128" customWidth="1"/>
    <col min="7176" max="7177" width="8.85546875" style="128"/>
    <col min="7178" max="7178" width="13.7109375" style="128" bestFit="1" customWidth="1"/>
    <col min="7179" max="7179" width="14.42578125" style="128" customWidth="1"/>
    <col min="7180" max="7424" width="8.85546875" style="128"/>
    <col min="7425" max="7425" width="7.42578125" style="128" customWidth="1"/>
    <col min="7426" max="7426" width="43.7109375" style="128" customWidth="1"/>
    <col min="7427" max="7427" width="11.140625" style="128" customWidth="1"/>
    <col min="7428" max="7428" width="12.28515625" style="128" customWidth="1"/>
    <col min="7429" max="7430" width="13.140625" style="128" customWidth="1"/>
    <col min="7431" max="7431" width="14.42578125" style="128" customWidth="1"/>
    <col min="7432" max="7433" width="8.85546875" style="128"/>
    <col min="7434" max="7434" width="13.7109375" style="128" bestFit="1" customWidth="1"/>
    <col min="7435" max="7435" width="14.42578125" style="128" customWidth="1"/>
    <col min="7436" max="7680" width="8.85546875" style="128"/>
    <col min="7681" max="7681" width="7.42578125" style="128" customWidth="1"/>
    <col min="7682" max="7682" width="43.7109375" style="128" customWidth="1"/>
    <col min="7683" max="7683" width="11.140625" style="128" customWidth="1"/>
    <col min="7684" max="7684" width="12.28515625" style="128" customWidth="1"/>
    <col min="7685" max="7686" width="13.140625" style="128" customWidth="1"/>
    <col min="7687" max="7687" width="14.42578125" style="128" customWidth="1"/>
    <col min="7688" max="7689" width="8.85546875" style="128"/>
    <col min="7690" max="7690" width="13.7109375" style="128" bestFit="1" customWidth="1"/>
    <col min="7691" max="7691" width="14.42578125" style="128" customWidth="1"/>
    <col min="7692" max="7936" width="8.85546875" style="128"/>
    <col min="7937" max="7937" width="7.42578125" style="128" customWidth="1"/>
    <col min="7938" max="7938" width="43.7109375" style="128" customWidth="1"/>
    <col min="7939" max="7939" width="11.140625" style="128" customWidth="1"/>
    <col min="7940" max="7940" width="12.28515625" style="128" customWidth="1"/>
    <col min="7941" max="7942" width="13.140625" style="128" customWidth="1"/>
    <col min="7943" max="7943" width="14.42578125" style="128" customWidth="1"/>
    <col min="7944" max="7945" width="8.85546875" style="128"/>
    <col min="7946" max="7946" width="13.7109375" style="128" bestFit="1" customWidth="1"/>
    <col min="7947" max="7947" width="14.42578125" style="128" customWidth="1"/>
    <col min="7948" max="8192" width="8.85546875" style="128"/>
    <col min="8193" max="8193" width="7.42578125" style="128" customWidth="1"/>
    <col min="8194" max="8194" width="43.7109375" style="128" customWidth="1"/>
    <col min="8195" max="8195" width="11.140625" style="128" customWidth="1"/>
    <col min="8196" max="8196" width="12.28515625" style="128" customWidth="1"/>
    <col min="8197" max="8198" width="13.140625" style="128" customWidth="1"/>
    <col min="8199" max="8199" width="14.42578125" style="128" customWidth="1"/>
    <col min="8200" max="8201" width="8.85546875" style="128"/>
    <col min="8202" max="8202" width="13.7109375" style="128" bestFit="1" customWidth="1"/>
    <col min="8203" max="8203" width="14.42578125" style="128" customWidth="1"/>
    <col min="8204" max="8448" width="8.85546875" style="128"/>
    <col min="8449" max="8449" width="7.42578125" style="128" customWidth="1"/>
    <col min="8450" max="8450" width="43.7109375" style="128" customWidth="1"/>
    <col min="8451" max="8451" width="11.140625" style="128" customWidth="1"/>
    <col min="8452" max="8452" width="12.28515625" style="128" customWidth="1"/>
    <col min="8453" max="8454" width="13.140625" style="128" customWidth="1"/>
    <col min="8455" max="8455" width="14.42578125" style="128" customWidth="1"/>
    <col min="8456" max="8457" width="8.85546875" style="128"/>
    <col min="8458" max="8458" width="13.7109375" style="128" bestFit="1" customWidth="1"/>
    <col min="8459" max="8459" width="14.42578125" style="128" customWidth="1"/>
    <col min="8460" max="8704" width="8.85546875" style="128"/>
    <col min="8705" max="8705" width="7.42578125" style="128" customWidth="1"/>
    <col min="8706" max="8706" width="43.7109375" style="128" customWidth="1"/>
    <col min="8707" max="8707" width="11.140625" style="128" customWidth="1"/>
    <col min="8708" max="8708" width="12.28515625" style="128" customWidth="1"/>
    <col min="8709" max="8710" width="13.140625" style="128" customWidth="1"/>
    <col min="8711" max="8711" width="14.42578125" style="128" customWidth="1"/>
    <col min="8712" max="8713" width="8.85546875" style="128"/>
    <col min="8714" max="8714" width="13.7109375" style="128" bestFit="1" customWidth="1"/>
    <col min="8715" max="8715" width="14.42578125" style="128" customWidth="1"/>
    <col min="8716" max="8960" width="8.85546875" style="128"/>
    <col min="8961" max="8961" width="7.42578125" style="128" customWidth="1"/>
    <col min="8962" max="8962" width="43.7109375" style="128" customWidth="1"/>
    <col min="8963" max="8963" width="11.140625" style="128" customWidth="1"/>
    <col min="8964" max="8964" width="12.28515625" style="128" customWidth="1"/>
    <col min="8965" max="8966" width="13.140625" style="128" customWidth="1"/>
    <col min="8967" max="8967" width="14.42578125" style="128" customWidth="1"/>
    <col min="8968" max="8969" width="8.85546875" style="128"/>
    <col min="8970" max="8970" width="13.7109375" style="128" bestFit="1" customWidth="1"/>
    <col min="8971" max="8971" width="14.42578125" style="128" customWidth="1"/>
    <col min="8972" max="9216" width="8.85546875" style="128"/>
    <col min="9217" max="9217" width="7.42578125" style="128" customWidth="1"/>
    <col min="9218" max="9218" width="43.7109375" style="128" customWidth="1"/>
    <col min="9219" max="9219" width="11.140625" style="128" customWidth="1"/>
    <col min="9220" max="9220" width="12.28515625" style="128" customWidth="1"/>
    <col min="9221" max="9222" width="13.140625" style="128" customWidth="1"/>
    <col min="9223" max="9223" width="14.42578125" style="128" customWidth="1"/>
    <col min="9224" max="9225" width="8.85546875" style="128"/>
    <col min="9226" max="9226" width="13.7109375" style="128" bestFit="1" customWidth="1"/>
    <col min="9227" max="9227" width="14.42578125" style="128" customWidth="1"/>
    <col min="9228" max="9472" width="8.85546875" style="128"/>
    <col min="9473" max="9473" width="7.42578125" style="128" customWidth="1"/>
    <col min="9474" max="9474" width="43.7109375" style="128" customWidth="1"/>
    <col min="9475" max="9475" width="11.140625" style="128" customWidth="1"/>
    <col min="9476" max="9476" width="12.28515625" style="128" customWidth="1"/>
    <col min="9477" max="9478" width="13.140625" style="128" customWidth="1"/>
    <col min="9479" max="9479" width="14.42578125" style="128" customWidth="1"/>
    <col min="9480" max="9481" width="8.85546875" style="128"/>
    <col min="9482" max="9482" width="13.7109375" style="128" bestFit="1" customWidth="1"/>
    <col min="9483" max="9483" width="14.42578125" style="128" customWidth="1"/>
    <col min="9484" max="9728" width="8.85546875" style="128"/>
    <col min="9729" max="9729" width="7.42578125" style="128" customWidth="1"/>
    <col min="9730" max="9730" width="43.7109375" style="128" customWidth="1"/>
    <col min="9731" max="9731" width="11.140625" style="128" customWidth="1"/>
    <col min="9732" max="9732" width="12.28515625" style="128" customWidth="1"/>
    <col min="9733" max="9734" width="13.140625" style="128" customWidth="1"/>
    <col min="9735" max="9735" width="14.42578125" style="128" customWidth="1"/>
    <col min="9736" max="9737" width="8.85546875" style="128"/>
    <col min="9738" max="9738" width="13.7109375" style="128" bestFit="1" customWidth="1"/>
    <col min="9739" max="9739" width="14.42578125" style="128" customWidth="1"/>
    <col min="9740" max="9984" width="8.85546875" style="128"/>
    <col min="9985" max="9985" width="7.42578125" style="128" customWidth="1"/>
    <col min="9986" max="9986" width="43.7109375" style="128" customWidth="1"/>
    <col min="9987" max="9987" width="11.140625" style="128" customWidth="1"/>
    <col min="9988" max="9988" width="12.28515625" style="128" customWidth="1"/>
    <col min="9989" max="9990" width="13.140625" style="128" customWidth="1"/>
    <col min="9991" max="9991" width="14.42578125" style="128" customWidth="1"/>
    <col min="9992" max="9993" width="8.85546875" style="128"/>
    <col min="9994" max="9994" width="13.7109375" style="128" bestFit="1" customWidth="1"/>
    <col min="9995" max="9995" width="14.42578125" style="128" customWidth="1"/>
    <col min="9996" max="10240" width="8.85546875" style="128"/>
    <col min="10241" max="10241" width="7.42578125" style="128" customWidth="1"/>
    <col min="10242" max="10242" width="43.7109375" style="128" customWidth="1"/>
    <col min="10243" max="10243" width="11.140625" style="128" customWidth="1"/>
    <col min="10244" max="10244" width="12.28515625" style="128" customWidth="1"/>
    <col min="10245" max="10246" width="13.140625" style="128" customWidth="1"/>
    <col min="10247" max="10247" width="14.42578125" style="128" customWidth="1"/>
    <col min="10248" max="10249" width="8.85546875" style="128"/>
    <col min="10250" max="10250" width="13.7109375" style="128" bestFit="1" customWidth="1"/>
    <col min="10251" max="10251" width="14.42578125" style="128" customWidth="1"/>
    <col min="10252" max="10496" width="8.85546875" style="128"/>
    <col min="10497" max="10497" width="7.42578125" style="128" customWidth="1"/>
    <col min="10498" max="10498" width="43.7109375" style="128" customWidth="1"/>
    <col min="10499" max="10499" width="11.140625" style="128" customWidth="1"/>
    <col min="10500" max="10500" width="12.28515625" style="128" customWidth="1"/>
    <col min="10501" max="10502" width="13.140625" style="128" customWidth="1"/>
    <col min="10503" max="10503" width="14.42578125" style="128" customWidth="1"/>
    <col min="10504" max="10505" width="8.85546875" style="128"/>
    <col min="10506" max="10506" width="13.7109375" style="128" bestFit="1" customWidth="1"/>
    <col min="10507" max="10507" width="14.42578125" style="128" customWidth="1"/>
    <col min="10508" max="10752" width="8.85546875" style="128"/>
    <col min="10753" max="10753" width="7.42578125" style="128" customWidth="1"/>
    <col min="10754" max="10754" width="43.7109375" style="128" customWidth="1"/>
    <col min="10755" max="10755" width="11.140625" style="128" customWidth="1"/>
    <col min="10756" max="10756" width="12.28515625" style="128" customWidth="1"/>
    <col min="10757" max="10758" width="13.140625" style="128" customWidth="1"/>
    <col min="10759" max="10759" width="14.42578125" style="128" customWidth="1"/>
    <col min="10760" max="10761" width="8.85546875" style="128"/>
    <col min="10762" max="10762" width="13.7109375" style="128" bestFit="1" customWidth="1"/>
    <col min="10763" max="10763" width="14.42578125" style="128" customWidth="1"/>
    <col min="10764" max="11008" width="8.85546875" style="128"/>
    <col min="11009" max="11009" width="7.42578125" style="128" customWidth="1"/>
    <col min="11010" max="11010" width="43.7109375" style="128" customWidth="1"/>
    <col min="11011" max="11011" width="11.140625" style="128" customWidth="1"/>
    <col min="11012" max="11012" width="12.28515625" style="128" customWidth="1"/>
    <col min="11013" max="11014" width="13.140625" style="128" customWidth="1"/>
    <col min="11015" max="11015" width="14.42578125" style="128" customWidth="1"/>
    <col min="11016" max="11017" width="8.85546875" style="128"/>
    <col min="11018" max="11018" width="13.7109375" style="128" bestFit="1" customWidth="1"/>
    <col min="11019" max="11019" width="14.42578125" style="128" customWidth="1"/>
    <col min="11020" max="11264" width="8.85546875" style="128"/>
    <col min="11265" max="11265" width="7.42578125" style="128" customWidth="1"/>
    <col min="11266" max="11266" width="43.7109375" style="128" customWidth="1"/>
    <col min="11267" max="11267" width="11.140625" style="128" customWidth="1"/>
    <col min="11268" max="11268" width="12.28515625" style="128" customWidth="1"/>
    <col min="11269" max="11270" width="13.140625" style="128" customWidth="1"/>
    <col min="11271" max="11271" width="14.42578125" style="128" customWidth="1"/>
    <col min="11272" max="11273" width="8.85546875" style="128"/>
    <col min="11274" max="11274" width="13.7109375" style="128" bestFit="1" customWidth="1"/>
    <col min="11275" max="11275" width="14.42578125" style="128" customWidth="1"/>
    <col min="11276" max="11520" width="8.85546875" style="128"/>
    <col min="11521" max="11521" width="7.42578125" style="128" customWidth="1"/>
    <col min="11522" max="11522" width="43.7109375" style="128" customWidth="1"/>
    <col min="11523" max="11523" width="11.140625" style="128" customWidth="1"/>
    <col min="11524" max="11524" width="12.28515625" style="128" customWidth="1"/>
    <col min="11525" max="11526" width="13.140625" style="128" customWidth="1"/>
    <col min="11527" max="11527" width="14.42578125" style="128" customWidth="1"/>
    <col min="11528" max="11529" width="8.85546875" style="128"/>
    <col min="11530" max="11530" width="13.7109375" style="128" bestFit="1" customWidth="1"/>
    <col min="11531" max="11531" width="14.42578125" style="128" customWidth="1"/>
    <col min="11532" max="11776" width="8.85546875" style="128"/>
    <col min="11777" max="11777" width="7.42578125" style="128" customWidth="1"/>
    <col min="11778" max="11778" width="43.7109375" style="128" customWidth="1"/>
    <col min="11779" max="11779" width="11.140625" style="128" customWidth="1"/>
    <col min="11780" max="11780" width="12.28515625" style="128" customWidth="1"/>
    <col min="11781" max="11782" width="13.140625" style="128" customWidth="1"/>
    <col min="11783" max="11783" width="14.42578125" style="128" customWidth="1"/>
    <col min="11784" max="11785" width="8.85546875" style="128"/>
    <col min="11786" max="11786" width="13.7109375" style="128" bestFit="1" customWidth="1"/>
    <col min="11787" max="11787" width="14.42578125" style="128" customWidth="1"/>
    <col min="11788" max="12032" width="8.85546875" style="128"/>
    <col min="12033" max="12033" width="7.42578125" style="128" customWidth="1"/>
    <col min="12034" max="12034" width="43.7109375" style="128" customWidth="1"/>
    <col min="12035" max="12035" width="11.140625" style="128" customWidth="1"/>
    <col min="12036" max="12036" width="12.28515625" style="128" customWidth="1"/>
    <col min="12037" max="12038" width="13.140625" style="128" customWidth="1"/>
    <col min="12039" max="12039" width="14.42578125" style="128" customWidth="1"/>
    <col min="12040" max="12041" width="8.85546875" style="128"/>
    <col min="12042" max="12042" width="13.7109375" style="128" bestFit="1" customWidth="1"/>
    <col min="12043" max="12043" width="14.42578125" style="128" customWidth="1"/>
    <col min="12044" max="12288" width="8.85546875" style="128"/>
    <col min="12289" max="12289" width="7.42578125" style="128" customWidth="1"/>
    <col min="12290" max="12290" width="43.7109375" style="128" customWidth="1"/>
    <col min="12291" max="12291" width="11.140625" style="128" customWidth="1"/>
    <col min="12292" max="12292" width="12.28515625" style="128" customWidth="1"/>
    <col min="12293" max="12294" width="13.140625" style="128" customWidth="1"/>
    <col min="12295" max="12295" width="14.42578125" style="128" customWidth="1"/>
    <col min="12296" max="12297" width="8.85546875" style="128"/>
    <col min="12298" max="12298" width="13.7109375" style="128" bestFit="1" customWidth="1"/>
    <col min="12299" max="12299" width="14.42578125" style="128" customWidth="1"/>
    <col min="12300" max="12544" width="8.85546875" style="128"/>
    <col min="12545" max="12545" width="7.42578125" style="128" customWidth="1"/>
    <col min="12546" max="12546" width="43.7109375" style="128" customWidth="1"/>
    <col min="12547" max="12547" width="11.140625" style="128" customWidth="1"/>
    <col min="12548" max="12548" width="12.28515625" style="128" customWidth="1"/>
    <col min="12549" max="12550" width="13.140625" style="128" customWidth="1"/>
    <col min="12551" max="12551" width="14.42578125" style="128" customWidth="1"/>
    <col min="12552" max="12553" width="8.85546875" style="128"/>
    <col min="12554" max="12554" width="13.7109375" style="128" bestFit="1" customWidth="1"/>
    <col min="12555" max="12555" width="14.42578125" style="128" customWidth="1"/>
    <col min="12556" max="12800" width="8.85546875" style="128"/>
    <col min="12801" max="12801" width="7.42578125" style="128" customWidth="1"/>
    <col min="12802" max="12802" width="43.7109375" style="128" customWidth="1"/>
    <col min="12803" max="12803" width="11.140625" style="128" customWidth="1"/>
    <col min="12804" max="12804" width="12.28515625" style="128" customWidth="1"/>
    <col min="12805" max="12806" width="13.140625" style="128" customWidth="1"/>
    <col min="12807" max="12807" width="14.42578125" style="128" customWidth="1"/>
    <col min="12808" max="12809" width="8.85546875" style="128"/>
    <col min="12810" max="12810" width="13.7109375" style="128" bestFit="1" customWidth="1"/>
    <col min="12811" max="12811" width="14.42578125" style="128" customWidth="1"/>
    <col min="12812" max="13056" width="8.85546875" style="128"/>
    <col min="13057" max="13057" width="7.42578125" style="128" customWidth="1"/>
    <col min="13058" max="13058" width="43.7109375" style="128" customWidth="1"/>
    <col min="13059" max="13059" width="11.140625" style="128" customWidth="1"/>
    <col min="13060" max="13060" width="12.28515625" style="128" customWidth="1"/>
    <col min="13061" max="13062" width="13.140625" style="128" customWidth="1"/>
    <col min="13063" max="13063" width="14.42578125" style="128" customWidth="1"/>
    <col min="13064" max="13065" width="8.85546875" style="128"/>
    <col min="13066" max="13066" width="13.7109375" style="128" bestFit="1" customWidth="1"/>
    <col min="13067" max="13067" width="14.42578125" style="128" customWidth="1"/>
    <col min="13068" max="13312" width="8.85546875" style="128"/>
    <col min="13313" max="13313" width="7.42578125" style="128" customWidth="1"/>
    <col min="13314" max="13314" width="43.7109375" style="128" customWidth="1"/>
    <col min="13315" max="13315" width="11.140625" style="128" customWidth="1"/>
    <col min="13316" max="13316" width="12.28515625" style="128" customWidth="1"/>
    <col min="13317" max="13318" width="13.140625" style="128" customWidth="1"/>
    <col min="13319" max="13319" width="14.42578125" style="128" customWidth="1"/>
    <col min="13320" max="13321" width="8.85546875" style="128"/>
    <col min="13322" max="13322" width="13.7109375" style="128" bestFit="1" customWidth="1"/>
    <col min="13323" max="13323" width="14.42578125" style="128" customWidth="1"/>
    <col min="13324" max="13568" width="8.85546875" style="128"/>
    <col min="13569" max="13569" width="7.42578125" style="128" customWidth="1"/>
    <col min="13570" max="13570" width="43.7109375" style="128" customWidth="1"/>
    <col min="13571" max="13571" width="11.140625" style="128" customWidth="1"/>
    <col min="13572" max="13572" width="12.28515625" style="128" customWidth="1"/>
    <col min="13573" max="13574" width="13.140625" style="128" customWidth="1"/>
    <col min="13575" max="13575" width="14.42578125" style="128" customWidth="1"/>
    <col min="13576" max="13577" width="8.85546875" style="128"/>
    <col min="13578" max="13578" width="13.7109375" style="128" bestFit="1" customWidth="1"/>
    <col min="13579" max="13579" width="14.42578125" style="128" customWidth="1"/>
    <col min="13580" max="13824" width="8.85546875" style="128"/>
    <col min="13825" max="13825" width="7.42578125" style="128" customWidth="1"/>
    <col min="13826" max="13826" width="43.7109375" style="128" customWidth="1"/>
    <col min="13827" max="13827" width="11.140625" style="128" customWidth="1"/>
    <col min="13828" max="13828" width="12.28515625" style="128" customWidth="1"/>
    <col min="13829" max="13830" width="13.140625" style="128" customWidth="1"/>
    <col min="13831" max="13831" width="14.42578125" style="128" customWidth="1"/>
    <col min="13832" max="13833" width="8.85546875" style="128"/>
    <col min="13834" max="13834" width="13.7109375" style="128" bestFit="1" customWidth="1"/>
    <col min="13835" max="13835" width="14.42578125" style="128" customWidth="1"/>
    <col min="13836" max="14080" width="8.85546875" style="128"/>
    <col min="14081" max="14081" width="7.42578125" style="128" customWidth="1"/>
    <col min="14082" max="14082" width="43.7109375" style="128" customWidth="1"/>
    <col min="14083" max="14083" width="11.140625" style="128" customWidth="1"/>
    <col min="14084" max="14084" width="12.28515625" style="128" customWidth="1"/>
    <col min="14085" max="14086" width="13.140625" style="128" customWidth="1"/>
    <col min="14087" max="14087" width="14.42578125" style="128" customWidth="1"/>
    <col min="14088" max="14089" width="8.85546875" style="128"/>
    <col min="14090" max="14090" width="13.7109375" style="128" bestFit="1" customWidth="1"/>
    <col min="14091" max="14091" width="14.42578125" style="128" customWidth="1"/>
    <col min="14092" max="14336" width="8.85546875" style="128"/>
    <col min="14337" max="14337" width="7.42578125" style="128" customWidth="1"/>
    <col min="14338" max="14338" width="43.7109375" style="128" customWidth="1"/>
    <col min="14339" max="14339" width="11.140625" style="128" customWidth="1"/>
    <col min="14340" max="14340" width="12.28515625" style="128" customWidth="1"/>
    <col min="14341" max="14342" width="13.140625" style="128" customWidth="1"/>
    <col min="14343" max="14343" width="14.42578125" style="128" customWidth="1"/>
    <col min="14344" max="14345" width="8.85546875" style="128"/>
    <col min="14346" max="14346" width="13.7109375" style="128" bestFit="1" customWidth="1"/>
    <col min="14347" max="14347" width="14.42578125" style="128" customWidth="1"/>
    <col min="14348" max="14592" width="8.85546875" style="128"/>
    <col min="14593" max="14593" width="7.42578125" style="128" customWidth="1"/>
    <col min="14594" max="14594" width="43.7109375" style="128" customWidth="1"/>
    <col min="14595" max="14595" width="11.140625" style="128" customWidth="1"/>
    <col min="14596" max="14596" width="12.28515625" style="128" customWidth="1"/>
    <col min="14597" max="14598" width="13.140625" style="128" customWidth="1"/>
    <col min="14599" max="14599" width="14.42578125" style="128" customWidth="1"/>
    <col min="14600" max="14601" width="8.85546875" style="128"/>
    <col min="14602" max="14602" width="13.7109375" style="128" bestFit="1" customWidth="1"/>
    <col min="14603" max="14603" width="14.42578125" style="128" customWidth="1"/>
    <col min="14604" max="14848" width="8.85546875" style="128"/>
    <col min="14849" max="14849" width="7.42578125" style="128" customWidth="1"/>
    <col min="14850" max="14850" width="43.7109375" style="128" customWidth="1"/>
    <col min="14851" max="14851" width="11.140625" style="128" customWidth="1"/>
    <col min="14852" max="14852" width="12.28515625" style="128" customWidth="1"/>
    <col min="14853" max="14854" width="13.140625" style="128" customWidth="1"/>
    <col min="14855" max="14855" width="14.42578125" style="128" customWidth="1"/>
    <col min="14856" max="14857" width="8.85546875" style="128"/>
    <col min="14858" max="14858" width="13.7109375" style="128" bestFit="1" customWidth="1"/>
    <col min="14859" max="14859" width="14.42578125" style="128" customWidth="1"/>
    <col min="14860" max="15104" width="8.85546875" style="128"/>
    <col min="15105" max="15105" width="7.42578125" style="128" customWidth="1"/>
    <col min="15106" max="15106" width="43.7109375" style="128" customWidth="1"/>
    <col min="15107" max="15107" width="11.140625" style="128" customWidth="1"/>
    <col min="15108" max="15108" width="12.28515625" style="128" customWidth="1"/>
    <col min="15109" max="15110" width="13.140625" style="128" customWidth="1"/>
    <col min="15111" max="15111" width="14.42578125" style="128" customWidth="1"/>
    <col min="15112" max="15113" width="8.85546875" style="128"/>
    <col min="15114" max="15114" width="13.7109375" style="128" bestFit="1" customWidth="1"/>
    <col min="15115" max="15115" width="14.42578125" style="128" customWidth="1"/>
    <col min="15116" max="15360" width="8.85546875" style="128"/>
    <col min="15361" max="15361" width="7.42578125" style="128" customWidth="1"/>
    <col min="15362" max="15362" width="43.7109375" style="128" customWidth="1"/>
    <col min="15363" max="15363" width="11.140625" style="128" customWidth="1"/>
    <col min="15364" max="15364" width="12.28515625" style="128" customWidth="1"/>
    <col min="15365" max="15366" width="13.140625" style="128" customWidth="1"/>
    <col min="15367" max="15367" width="14.42578125" style="128" customWidth="1"/>
    <col min="15368" max="15369" width="8.85546875" style="128"/>
    <col min="15370" max="15370" width="13.7109375" style="128" bestFit="1" customWidth="1"/>
    <col min="15371" max="15371" width="14.42578125" style="128" customWidth="1"/>
    <col min="15372" max="15616" width="8.85546875" style="128"/>
    <col min="15617" max="15617" width="7.42578125" style="128" customWidth="1"/>
    <col min="15618" max="15618" width="43.7109375" style="128" customWidth="1"/>
    <col min="15619" max="15619" width="11.140625" style="128" customWidth="1"/>
    <col min="15620" max="15620" width="12.28515625" style="128" customWidth="1"/>
    <col min="15621" max="15622" width="13.140625" style="128" customWidth="1"/>
    <col min="15623" max="15623" width="14.42578125" style="128" customWidth="1"/>
    <col min="15624" max="15625" width="8.85546875" style="128"/>
    <col min="15626" max="15626" width="13.7109375" style="128" bestFit="1" customWidth="1"/>
    <col min="15627" max="15627" width="14.42578125" style="128" customWidth="1"/>
    <col min="15628" max="15872" width="8.85546875" style="128"/>
    <col min="15873" max="15873" width="7.42578125" style="128" customWidth="1"/>
    <col min="15874" max="15874" width="43.7109375" style="128" customWidth="1"/>
    <col min="15875" max="15875" width="11.140625" style="128" customWidth="1"/>
    <col min="15876" max="15876" width="12.28515625" style="128" customWidth="1"/>
    <col min="15877" max="15878" width="13.140625" style="128" customWidth="1"/>
    <col min="15879" max="15879" width="14.42578125" style="128" customWidth="1"/>
    <col min="15880" max="15881" width="8.85546875" style="128"/>
    <col min="15882" max="15882" width="13.7109375" style="128" bestFit="1" customWidth="1"/>
    <col min="15883" max="15883" width="14.42578125" style="128" customWidth="1"/>
    <col min="15884" max="16128" width="8.85546875" style="128"/>
    <col min="16129" max="16129" width="7.42578125" style="128" customWidth="1"/>
    <col min="16130" max="16130" width="43.7109375" style="128" customWidth="1"/>
    <col min="16131" max="16131" width="11.140625" style="128" customWidth="1"/>
    <col min="16132" max="16132" width="12.28515625" style="128" customWidth="1"/>
    <col min="16133" max="16134" width="13.140625" style="128" customWidth="1"/>
    <col min="16135" max="16135" width="14.42578125" style="128" customWidth="1"/>
    <col min="16136" max="16137" width="8.85546875" style="128"/>
    <col min="16138" max="16138" width="13.7109375" style="128" bestFit="1" customWidth="1"/>
    <col min="16139" max="16139" width="14.42578125" style="128" customWidth="1"/>
    <col min="16140" max="16384" width="8.85546875" style="128"/>
  </cols>
  <sheetData>
    <row r="1" spans="1:11" ht="24.6" customHeight="1" x14ac:dyDescent="0.25">
      <c r="A1" s="126" t="s">
        <v>47</v>
      </c>
      <c r="B1" s="126"/>
      <c r="C1" s="126"/>
      <c r="D1" s="126"/>
      <c r="E1" s="126"/>
      <c r="F1" s="126"/>
      <c r="G1" s="126"/>
      <c r="H1" s="127"/>
      <c r="I1" s="127"/>
      <c r="J1" s="127"/>
      <c r="K1" s="127"/>
    </row>
    <row r="2" spans="1:11" s="135" customFormat="1" ht="22.35" customHeight="1" x14ac:dyDescent="0.25">
      <c r="A2" s="129"/>
      <c r="B2" s="130" t="s">
        <v>62</v>
      </c>
      <c r="C2" s="130"/>
      <c r="D2" s="131" t="s">
        <v>61</v>
      </c>
      <c r="E2" s="132">
        <v>30000000</v>
      </c>
      <c r="F2" s="133" t="s">
        <v>48</v>
      </c>
      <c r="G2" s="134"/>
      <c r="K2" s="136"/>
    </row>
    <row r="3" spans="1:11" s="135" customFormat="1" ht="22.35" customHeight="1" x14ac:dyDescent="0.25">
      <c r="A3" s="129"/>
      <c r="B3" s="130" t="s">
        <v>63</v>
      </c>
      <c r="C3" s="130"/>
      <c r="D3" s="131" t="s">
        <v>60</v>
      </c>
      <c r="E3" s="132">
        <v>24</v>
      </c>
      <c r="F3" s="133" t="s">
        <v>59</v>
      </c>
      <c r="G3" s="134"/>
      <c r="K3" s="136"/>
    </row>
    <row r="4" spans="1:11" s="135" customFormat="1" ht="22.35" customHeight="1" x14ac:dyDescent="0.25">
      <c r="A4" s="129"/>
      <c r="B4" s="137"/>
      <c r="C4" s="137"/>
      <c r="D4" s="137"/>
      <c r="E4" s="58"/>
      <c r="F4" s="133"/>
      <c r="G4" s="59"/>
      <c r="H4" s="166" t="s">
        <v>124</v>
      </c>
      <c r="I4" s="166"/>
      <c r="K4" s="136"/>
    </row>
    <row r="5" spans="1:11" ht="85.5" x14ac:dyDescent="0.25">
      <c r="A5" s="164" t="s">
        <v>49</v>
      </c>
      <c r="B5" s="164" t="s">
        <v>15</v>
      </c>
      <c r="C5" s="164" t="s">
        <v>45</v>
      </c>
      <c r="D5" s="164" t="s">
        <v>46</v>
      </c>
      <c r="E5" s="164" t="s">
        <v>50</v>
      </c>
      <c r="F5" s="164" t="s">
        <v>83</v>
      </c>
      <c r="G5" s="165" t="s">
        <v>4</v>
      </c>
      <c r="H5" s="165" t="s">
        <v>5</v>
      </c>
      <c r="I5" s="165" t="s">
        <v>6</v>
      </c>
    </row>
    <row r="6" spans="1:11" ht="21.6" customHeight="1" x14ac:dyDescent="0.25">
      <c r="A6" s="139">
        <v>1</v>
      </c>
      <c r="B6" s="139">
        <v>2</v>
      </c>
      <c r="C6" s="139">
        <v>3</v>
      </c>
      <c r="D6" s="139">
        <v>4</v>
      </c>
      <c r="E6" s="139">
        <v>5</v>
      </c>
      <c r="F6" s="139">
        <v>6</v>
      </c>
      <c r="G6" s="50" t="s">
        <v>78</v>
      </c>
      <c r="H6" s="139">
        <v>8</v>
      </c>
      <c r="I6" s="140">
        <v>9</v>
      </c>
    </row>
    <row r="7" spans="1:11" ht="43.5" customHeight="1" x14ac:dyDescent="0.25">
      <c r="A7" s="138" t="s">
        <v>19</v>
      </c>
      <c r="B7" s="141" t="s">
        <v>77</v>
      </c>
      <c r="C7" s="142" t="s">
        <v>51</v>
      </c>
      <c r="D7" s="143"/>
      <c r="E7" s="143"/>
      <c r="F7" s="144"/>
      <c r="G7" s="56">
        <f>G8+G9</f>
        <v>187200000.00000003</v>
      </c>
      <c r="H7" s="140"/>
      <c r="I7" s="140"/>
    </row>
    <row r="8" spans="1:11" ht="43.5" customHeight="1" x14ac:dyDescent="0.25">
      <c r="A8" s="145" t="s">
        <v>54</v>
      </c>
      <c r="B8" s="141" t="s">
        <v>64</v>
      </c>
      <c r="C8" s="145">
        <v>1</v>
      </c>
      <c r="D8" s="145">
        <v>1</v>
      </c>
      <c r="E8" s="146">
        <f>$E$2</f>
        <v>30000000</v>
      </c>
      <c r="F8" s="147">
        <f>20%*$E$3</f>
        <v>4.8000000000000007</v>
      </c>
      <c r="G8" s="57">
        <f>C8*E8*F8</f>
        <v>144000000.00000003</v>
      </c>
      <c r="H8" s="140"/>
      <c r="I8" s="140"/>
    </row>
    <row r="9" spans="1:11" ht="43.5" customHeight="1" x14ac:dyDescent="0.25">
      <c r="A9" s="145" t="s">
        <v>56</v>
      </c>
      <c r="B9" s="140" t="s">
        <v>65</v>
      </c>
      <c r="C9" s="145">
        <v>0.3</v>
      </c>
      <c r="D9" s="145">
        <v>1</v>
      </c>
      <c r="E9" s="146">
        <f>$E$2</f>
        <v>30000000</v>
      </c>
      <c r="F9" s="147">
        <f>20%*$E$3</f>
        <v>4.8000000000000007</v>
      </c>
      <c r="G9" s="57">
        <f>C9*E9*F9</f>
        <v>43200000.000000007</v>
      </c>
      <c r="H9" s="140"/>
      <c r="I9" s="140"/>
    </row>
    <row r="10" spans="1:11" ht="20.45" customHeight="1" x14ac:dyDescent="0.25">
      <c r="A10" s="138" t="s">
        <v>20</v>
      </c>
      <c r="B10" s="141" t="s">
        <v>52</v>
      </c>
      <c r="C10" s="138"/>
      <c r="D10" s="138"/>
      <c r="E10" s="148"/>
      <c r="F10" s="138"/>
      <c r="G10" s="51">
        <f>G11+G23+G35</f>
        <v>126552000</v>
      </c>
      <c r="H10" s="140"/>
      <c r="I10" s="140"/>
    </row>
    <row r="11" spans="1:11" ht="20.45" customHeight="1" x14ac:dyDescent="0.25">
      <c r="A11" s="149" t="s">
        <v>57</v>
      </c>
      <c r="B11" s="141" t="s">
        <v>53</v>
      </c>
      <c r="C11" s="145"/>
      <c r="D11" s="145"/>
      <c r="E11" s="150"/>
      <c r="F11" s="52">
        <f>SUM(F12,F14,F18,F22)</f>
        <v>12.4</v>
      </c>
      <c r="G11" s="52">
        <f>SUM(G12,G14,G18,G22)</f>
        <v>126552000</v>
      </c>
      <c r="H11" s="140"/>
      <c r="I11" s="140"/>
    </row>
    <row r="12" spans="1:11" s="153" customFormat="1" ht="20.45" customHeight="1" outlineLevel="1" x14ac:dyDescent="0.25">
      <c r="A12" s="149" t="s">
        <v>116</v>
      </c>
      <c r="B12" s="151" t="s">
        <v>67</v>
      </c>
      <c r="C12" s="149">
        <v>0.8</v>
      </c>
      <c r="D12" s="149">
        <f>D13</f>
        <v>1</v>
      </c>
      <c r="E12" s="152">
        <f>$E$2</f>
        <v>30000000</v>
      </c>
      <c r="F12" s="149">
        <f>F13</f>
        <v>2</v>
      </c>
      <c r="G12" s="53">
        <f t="shared" ref="G12:G20" si="0">C12*E12*F12</f>
        <v>48000000</v>
      </c>
      <c r="H12" s="151"/>
      <c r="I12" s="151"/>
    </row>
    <row r="13" spans="1:11" ht="20.45" customHeight="1" outlineLevel="1" x14ac:dyDescent="0.25">
      <c r="A13" s="145"/>
      <c r="B13" s="140" t="s">
        <v>66</v>
      </c>
      <c r="C13" s="145">
        <v>0.8</v>
      </c>
      <c r="D13" s="145">
        <v>1</v>
      </c>
      <c r="E13" s="154">
        <f>$E$2</f>
        <v>30000000</v>
      </c>
      <c r="F13" s="145">
        <v>2</v>
      </c>
      <c r="G13" s="54">
        <f>C13*E13*F13</f>
        <v>48000000</v>
      </c>
      <c r="H13" s="140"/>
      <c r="I13" s="140"/>
    </row>
    <row r="14" spans="1:11" s="153" customFormat="1" ht="20.45" customHeight="1" outlineLevel="1" x14ac:dyDescent="0.25">
      <c r="A14" s="149" t="s">
        <v>117</v>
      </c>
      <c r="B14" s="151" t="s">
        <v>68</v>
      </c>
      <c r="C14" s="149">
        <v>0.4</v>
      </c>
      <c r="D14" s="149">
        <f>SUM(D15:D17)</f>
        <v>3</v>
      </c>
      <c r="E14" s="152">
        <f t="shared" ref="E14:E21" si="1">$E$2</f>
        <v>30000000</v>
      </c>
      <c r="F14" s="149">
        <f>SUM(F15:F17)</f>
        <v>3</v>
      </c>
      <c r="G14" s="53">
        <f t="shared" si="0"/>
        <v>36000000</v>
      </c>
      <c r="H14" s="151"/>
      <c r="I14" s="151"/>
    </row>
    <row r="15" spans="1:11" ht="20.45" customHeight="1" outlineLevel="1" x14ac:dyDescent="0.25">
      <c r="A15" s="145"/>
      <c r="B15" s="140" t="s">
        <v>66</v>
      </c>
      <c r="C15" s="145">
        <v>0.4</v>
      </c>
      <c r="D15" s="145">
        <v>1</v>
      </c>
      <c r="E15" s="154">
        <f t="shared" si="1"/>
        <v>30000000</v>
      </c>
      <c r="F15" s="145">
        <v>1</v>
      </c>
      <c r="G15" s="54">
        <f t="shared" si="0"/>
        <v>12000000</v>
      </c>
      <c r="H15" s="140"/>
      <c r="I15" s="140"/>
    </row>
    <row r="16" spans="1:11" ht="20.45" customHeight="1" outlineLevel="1" x14ac:dyDescent="0.25">
      <c r="A16" s="145"/>
      <c r="B16" s="140" t="s">
        <v>66</v>
      </c>
      <c r="C16" s="145">
        <v>0.4</v>
      </c>
      <c r="D16" s="145">
        <v>1</v>
      </c>
      <c r="E16" s="154">
        <f t="shared" si="1"/>
        <v>30000000</v>
      </c>
      <c r="F16" s="145">
        <v>0.5</v>
      </c>
      <c r="G16" s="54">
        <f t="shared" si="0"/>
        <v>6000000</v>
      </c>
      <c r="H16" s="140"/>
      <c r="I16" s="140"/>
    </row>
    <row r="17" spans="1:12" ht="20.45" customHeight="1" outlineLevel="1" x14ac:dyDescent="0.25">
      <c r="A17" s="145"/>
      <c r="B17" s="140" t="s">
        <v>66</v>
      </c>
      <c r="C17" s="145">
        <v>0.4</v>
      </c>
      <c r="D17" s="145">
        <v>1</v>
      </c>
      <c r="E17" s="154">
        <f t="shared" si="1"/>
        <v>30000000</v>
      </c>
      <c r="F17" s="145">
        <v>1.5</v>
      </c>
      <c r="G17" s="54">
        <f t="shared" si="0"/>
        <v>18000000</v>
      </c>
      <c r="H17" s="140"/>
      <c r="I17" s="140"/>
    </row>
    <row r="18" spans="1:12" s="153" customFormat="1" ht="20.45" customHeight="1" outlineLevel="1" x14ac:dyDescent="0.25">
      <c r="A18" s="149" t="s">
        <v>118</v>
      </c>
      <c r="B18" s="151" t="s">
        <v>70</v>
      </c>
      <c r="C18" s="149">
        <v>0.2</v>
      </c>
      <c r="D18" s="149">
        <f>SUM(D19:D21)</f>
        <v>3</v>
      </c>
      <c r="E18" s="152">
        <f t="shared" si="1"/>
        <v>30000000</v>
      </c>
      <c r="F18" s="149">
        <f>SUM(F19:F21)</f>
        <v>6</v>
      </c>
      <c r="G18" s="53">
        <f>C18*E18*F18</f>
        <v>36000000</v>
      </c>
      <c r="H18" s="151"/>
      <c r="I18" s="151"/>
    </row>
    <row r="19" spans="1:12" ht="20.45" customHeight="1" outlineLevel="1" x14ac:dyDescent="0.25">
      <c r="A19" s="145"/>
      <c r="B19" s="140" t="s">
        <v>66</v>
      </c>
      <c r="C19" s="145">
        <v>0.2</v>
      </c>
      <c r="D19" s="145">
        <v>1</v>
      </c>
      <c r="E19" s="154">
        <f t="shared" si="1"/>
        <v>30000000</v>
      </c>
      <c r="F19" s="145">
        <v>1</v>
      </c>
      <c r="G19" s="54">
        <f t="shared" si="0"/>
        <v>6000000</v>
      </c>
      <c r="H19" s="140"/>
      <c r="I19" s="140"/>
    </row>
    <row r="20" spans="1:12" ht="20.45" customHeight="1" outlineLevel="1" x14ac:dyDescent="0.25">
      <c r="A20" s="145"/>
      <c r="B20" s="140" t="s">
        <v>66</v>
      </c>
      <c r="C20" s="145">
        <v>0.2</v>
      </c>
      <c r="D20" s="145">
        <v>1</v>
      </c>
      <c r="E20" s="154">
        <f t="shared" si="1"/>
        <v>30000000</v>
      </c>
      <c r="F20" s="145">
        <v>2</v>
      </c>
      <c r="G20" s="54">
        <f t="shared" si="0"/>
        <v>12000000</v>
      </c>
      <c r="H20" s="140"/>
      <c r="I20" s="140"/>
    </row>
    <row r="21" spans="1:12" ht="20.45" customHeight="1" outlineLevel="1" x14ac:dyDescent="0.25">
      <c r="A21" s="145"/>
      <c r="B21" s="140" t="s">
        <v>66</v>
      </c>
      <c r="C21" s="145">
        <v>0.2</v>
      </c>
      <c r="D21" s="145">
        <v>1</v>
      </c>
      <c r="E21" s="154">
        <f t="shared" si="1"/>
        <v>30000000</v>
      </c>
      <c r="F21" s="145">
        <v>3</v>
      </c>
      <c r="G21" s="54">
        <f>C21*E21*F21</f>
        <v>18000000</v>
      </c>
      <c r="H21" s="140"/>
      <c r="I21" s="140"/>
    </row>
    <row r="22" spans="1:12" s="153" customFormat="1" ht="52.35" customHeight="1" outlineLevel="1" x14ac:dyDescent="0.25">
      <c r="A22" s="149" t="s">
        <v>119</v>
      </c>
      <c r="B22" s="151" t="s">
        <v>55</v>
      </c>
      <c r="C22" s="149"/>
      <c r="D22" s="149"/>
      <c r="E22" s="53">
        <v>4680000</v>
      </c>
      <c r="F22" s="155">
        <f>ROUND(30/22,1)</f>
        <v>1.4</v>
      </c>
      <c r="G22" s="53">
        <f>IFERROR(E22*F22,0)</f>
        <v>6552000</v>
      </c>
      <c r="H22" s="156"/>
      <c r="I22" s="157"/>
    </row>
    <row r="23" spans="1:12" ht="20.45" customHeight="1" x14ac:dyDescent="0.25">
      <c r="A23" s="149" t="s">
        <v>58</v>
      </c>
      <c r="B23" s="141" t="s">
        <v>72</v>
      </c>
      <c r="C23" s="145"/>
      <c r="D23" s="145"/>
      <c r="E23" s="150"/>
      <c r="F23" s="52">
        <f>SUM(F24,F26,F30,F34)</f>
        <v>0</v>
      </c>
      <c r="G23" s="52">
        <f>SUM(G24,G26,G30,G34)</f>
        <v>0</v>
      </c>
      <c r="H23" s="140"/>
      <c r="I23" s="140"/>
      <c r="J23" s="55"/>
      <c r="K23" s="55"/>
      <c r="L23" s="158"/>
    </row>
    <row r="24" spans="1:12" s="153" customFormat="1" ht="20.45" customHeight="1" x14ac:dyDescent="0.25">
      <c r="A24" s="149" t="s">
        <v>120</v>
      </c>
      <c r="B24" s="151" t="s">
        <v>67</v>
      </c>
      <c r="C24" s="149">
        <v>0.8</v>
      </c>
      <c r="D24" s="149">
        <f>D25</f>
        <v>1</v>
      </c>
      <c r="E24" s="152">
        <f>$E$2</f>
        <v>30000000</v>
      </c>
      <c r="F24" s="149">
        <f>F25</f>
        <v>0</v>
      </c>
      <c r="G24" s="53">
        <f t="shared" ref="G24:G32" si="2">C24*E24*F24</f>
        <v>0</v>
      </c>
      <c r="H24" s="151"/>
      <c r="I24" s="151"/>
    </row>
    <row r="25" spans="1:12" ht="20.45" customHeight="1" x14ac:dyDescent="0.25">
      <c r="A25" s="145"/>
      <c r="B25" s="140" t="s">
        <v>66</v>
      </c>
      <c r="C25" s="145">
        <v>0.8</v>
      </c>
      <c r="D25" s="145">
        <v>1</v>
      </c>
      <c r="E25" s="154">
        <f>$E$2</f>
        <v>30000000</v>
      </c>
      <c r="F25" s="145"/>
      <c r="G25" s="54">
        <f t="shared" si="2"/>
        <v>0</v>
      </c>
      <c r="H25" s="140"/>
      <c r="I25" s="140"/>
    </row>
    <row r="26" spans="1:12" s="153" customFormat="1" ht="20.45" customHeight="1" x14ac:dyDescent="0.25">
      <c r="A26" s="149" t="s">
        <v>121</v>
      </c>
      <c r="B26" s="151" t="s">
        <v>68</v>
      </c>
      <c r="C26" s="149">
        <v>0.4</v>
      </c>
      <c r="D26" s="149">
        <f>SUM(D27:D29)</f>
        <v>3</v>
      </c>
      <c r="E26" s="152">
        <f t="shared" ref="E26:E33" si="3">$E$2</f>
        <v>30000000</v>
      </c>
      <c r="F26" s="149">
        <f>SUM(F27:F29)</f>
        <v>0</v>
      </c>
      <c r="G26" s="53">
        <f t="shared" si="2"/>
        <v>0</v>
      </c>
      <c r="H26" s="151"/>
      <c r="I26" s="151"/>
    </row>
    <row r="27" spans="1:12" ht="20.45" customHeight="1" x14ac:dyDescent="0.25">
      <c r="A27" s="145"/>
      <c r="B27" s="140" t="s">
        <v>69</v>
      </c>
      <c r="C27" s="145">
        <v>0.4</v>
      </c>
      <c r="D27" s="145">
        <v>1</v>
      </c>
      <c r="E27" s="154">
        <f t="shared" si="3"/>
        <v>30000000</v>
      </c>
      <c r="F27" s="145"/>
      <c r="G27" s="54">
        <f t="shared" si="2"/>
        <v>0</v>
      </c>
      <c r="H27" s="140"/>
      <c r="I27" s="140"/>
    </row>
    <row r="28" spans="1:12" ht="20.45" customHeight="1" x14ac:dyDescent="0.25">
      <c r="A28" s="145"/>
      <c r="B28" s="140" t="s">
        <v>69</v>
      </c>
      <c r="C28" s="145">
        <v>0.4</v>
      </c>
      <c r="D28" s="145">
        <v>1</v>
      </c>
      <c r="E28" s="154">
        <f t="shared" si="3"/>
        <v>30000000</v>
      </c>
      <c r="F28" s="145"/>
      <c r="G28" s="54">
        <f t="shared" si="2"/>
        <v>0</v>
      </c>
      <c r="H28" s="140"/>
      <c r="I28" s="140"/>
    </row>
    <row r="29" spans="1:12" ht="20.45" customHeight="1" x14ac:dyDescent="0.25">
      <c r="A29" s="145"/>
      <c r="B29" s="140" t="s">
        <v>69</v>
      </c>
      <c r="C29" s="145">
        <v>0.4</v>
      </c>
      <c r="D29" s="145">
        <v>1</v>
      </c>
      <c r="E29" s="154">
        <f t="shared" si="3"/>
        <v>30000000</v>
      </c>
      <c r="F29" s="145"/>
      <c r="G29" s="54">
        <f t="shared" si="2"/>
        <v>0</v>
      </c>
      <c r="H29" s="140"/>
      <c r="I29" s="140"/>
    </row>
    <row r="30" spans="1:12" s="153" customFormat="1" ht="20.45" customHeight="1" x14ac:dyDescent="0.25">
      <c r="A30" s="149" t="s">
        <v>122</v>
      </c>
      <c r="B30" s="151" t="s">
        <v>70</v>
      </c>
      <c r="C30" s="149">
        <v>0.2</v>
      </c>
      <c r="D30" s="149">
        <f>SUM(D31:D33)</f>
        <v>3</v>
      </c>
      <c r="E30" s="152">
        <f t="shared" si="3"/>
        <v>30000000</v>
      </c>
      <c r="F30" s="149">
        <f>SUM(F31:F33)</f>
        <v>0</v>
      </c>
      <c r="G30" s="53">
        <f t="shared" si="2"/>
        <v>0</v>
      </c>
      <c r="H30" s="151"/>
      <c r="I30" s="151"/>
    </row>
    <row r="31" spans="1:12" ht="20.45" customHeight="1" x14ac:dyDescent="0.25">
      <c r="A31" s="145"/>
      <c r="B31" s="140" t="s">
        <v>71</v>
      </c>
      <c r="C31" s="145">
        <v>0.2</v>
      </c>
      <c r="D31" s="145">
        <v>1</v>
      </c>
      <c r="E31" s="154">
        <f t="shared" si="3"/>
        <v>30000000</v>
      </c>
      <c r="F31" s="145"/>
      <c r="G31" s="54">
        <f t="shared" si="2"/>
        <v>0</v>
      </c>
      <c r="H31" s="140"/>
      <c r="I31" s="140"/>
    </row>
    <row r="32" spans="1:12" ht="20.45" customHeight="1" x14ac:dyDescent="0.25">
      <c r="A32" s="145"/>
      <c r="B32" s="140" t="s">
        <v>71</v>
      </c>
      <c r="C32" s="145">
        <v>0.2</v>
      </c>
      <c r="D32" s="145">
        <v>1</v>
      </c>
      <c r="E32" s="154">
        <f t="shared" si="3"/>
        <v>30000000</v>
      </c>
      <c r="F32" s="145"/>
      <c r="G32" s="54">
        <f t="shared" si="2"/>
        <v>0</v>
      </c>
      <c r="H32" s="140"/>
      <c r="I32" s="140"/>
    </row>
    <row r="33" spans="1:9" ht="20.45" customHeight="1" x14ac:dyDescent="0.25">
      <c r="A33" s="145"/>
      <c r="B33" s="140" t="s">
        <v>71</v>
      </c>
      <c r="C33" s="145">
        <v>0.2</v>
      </c>
      <c r="D33" s="145">
        <v>1</v>
      </c>
      <c r="E33" s="154">
        <f t="shared" si="3"/>
        <v>30000000</v>
      </c>
      <c r="F33" s="145"/>
      <c r="G33" s="54">
        <f>C33*E33*F33</f>
        <v>0</v>
      </c>
      <c r="H33" s="140"/>
      <c r="I33" s="140"/>
    </row>
    <row r="34" spans="1:9" s="153" customFormat="1" ht="52.35" customHeight="1" x14ac:dyDescent="0.25">
      <c r="A34" s="149" t="s">
        <v>123</v>
      </c>
      <c r="B34" s="151" t="s">
        <v>55</v>
      </c>
      <c r="C34" s="149"/>
      <c r="D34" s="149"/>
      <c r="E34" s="53">
        <v>4680000</v>
      </c>
      <c r="F34" s="155"/>
      <c r="G34" s="53">
        <f>IFERROR(E34*F34,0)</f>
        <v>0</v>
      </c>
      <c r="H34" s="151"/>
      <c r="I34" s="151"/>
    </row>
    <row r="35" spans="1:9" s="153" customFormat="1" ht="30.75" customHeight="1" x14ac:dyDescent="0.25">
      <c r="A35" s="149" t="s">
        <v>73</v>
      </c>
      <c r="B35" s="141" t="s">
        <v>74</v>
      </c>
      <c r="C35" s="149"/>
      <c r="D35" s="149"/>
      <c r="E35" s="53"/>
      <c r="F35" s="155"/>
      <c r="G35" s="53"/>
      <c r="H35" s="151"/>
      <c r="I35" s="151"/>
    </row>
    <row r="36" spans="1:9" s="153" customFormat="1" ht="30.75" customHeight="1" x14ac:dyDescent="0.25">
      <c r="A36" s="149"/>
      <c r="B36" s="140" t="s">
        <v>75</v>
      </c>
      <c r="C36" s="149"/>
      <c r="D36" s="149"/>
      <c r="E36" s="53"/>
      <c r="F36" s="155"/>
      <c r="G36" s="53"/>
      <c r="H36" s="151"/>
      <c r="I36" s="151"/>
    </row>
    <row r="37" spans="1:9" ht="27" customHeight="1" x14ac:dyDescent="0.25">
      <c r="A37" s="159"/>
      <c r="B37" s="160" t="s">
        <v>76</v>
      </c>
      <c r="C37" s="161"/>
      <c r="D37" s="161"/>
      <c r="E37" s="161"/>
      <c r="F37" s="162"/>
      <c r="G37" s="56">
        <f>G7+G10</f>
        <v>313752000</v>
      </c>
      <c r="H37" s="140">
        <f>H7+H10</f>
        <v>0</v>
      </c>
      <c r="I37" s="140">
        <f>I7+I10</f>
        <v>0</v>
      </c>
    </row>
  </sheetData>
  <mergeCells count="6">
    <mergeCell ref="H4:I4"/>
    <mergeCell ref="A1:G1"/>
    <mergeCell ref="B2:C2"/>
    <mergeCell ref="B3:C3"/>
    <mergeCell ref="C7:F7"/>
    <mergeCell ref="B37:F37"/>
  </mergeCells>
  <printOptions horizontalCentered="1"/>
  <pageMargins left="0.39370078740157499" right="0.196850393700787" top="0.39370078740157499" bottom="0.39370078740157499" header="0.118110236220472" footer="0.118110236220472"/>
  <pageSetup paperSize="9" scale="97"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zoomScale="115" zoomScaleNormal="115" zoomScaleSheetLayoutView="115" workbookViewId="0">
      <selection activeCell="A12" sqref="A12:F12"/>
    </sheetView>
  </sheetViews>
  <sheetFormatPr defaultColWidth="9.28515625" defaultRowHeight="15" x14ac:dyDescent="0.25"/>
  <cols>
    <col min="1" max="1" width="4.28515625" style="12" customWidth="1"/>
    <col min="2" max="2" width="19.7109375" style="4" customWidth="1"/>
    <col min="3" max="3" width="14.28515625" style="4" customWidth="1"/>
    <col min="4" max="4" width="15.42578125" style="4" customWidth="1"/>
    <col min="5" max="5" width="17" style="4" customWidth="1"/>
    <col min="6" max="6" width="14.28515625" style="4" customWidth="1"/>
    <col min="7" max="16384" width="9.28515625" style="4"/>
  </cols>
  <sheetData>
    <row r="1" spans="1:6" ht="39" customHeight="1" x14ac:dyDescent="0.25">
      <c r="A1" s="99" t="s">
        <v>109</v>
      </c>
      <c r="B1" s="99"/>
      <c r="C1" s="99"/>
      <c r="D1" s="99"/>
      <c r="E1" s="99"/>
      <c r="F1" s="99"/>
    </row>
    <row r="2" spans="1:6" ht="15.75" x14ac:dyDescent="0.25">
      <c r="A2" s="3"/>
      <c r="B2" s="3"/>
      <c r="C2" s="3"/>
      <c r="D2" s="3"/>
      <c r="E2" s="98" t="s">
        <v>17</v>
      </c>
      <c r="F2" s="98"/>
    </row>
    <row r="3" spans="1:6" ht="28.5" x14ac:dyDescent="0.25">
      <c r="A3" s="1" t="s">
        <v>1</v>
      </c>
      <c r="B3" s="1" t="s">
        <v>13</v>
      </c>
      <c r="C3" s="1" t="s">
        <v>15</v>
      </c>
      <c r="D3" s="1" t="s">
        <v>4</v>
      </c>
      <c r="E3" s="1" t="s">
        <v>5</v>
      </c>
      <c r="F3" s="1" t="s">
        <v>6</v>
      </c>
    </row>
    <row r="4" spans="1:6" x14ac:dyDescent="0.25">
      <c r="A4" s="10">
        <v>1</v>
      </c>
      <c r="B4" s="11"/>
      <c r="C4" s="11"/>
      <c r="D4" s="66"/>
      <c r="E4" s="66"/>
      <c r="F4" s="66"/>
    </row>
    <row r="5" spans="1:6" x14ac:dyDescent="0.25">
      <c r="A5" s="10">
        <v>2</v>
      </c>
      <c r="B5" s="5"/>
      <c r="C5" s="11"/>
      <c r="D5" s="66"/>
      <c r="E5" s="66"/>
      <c r="F5" s="66"/>
    </row>
    <row r="6" spans="1:6" x14ac:dyDescent="0.25">
      <c r="A6" s="10"/>
      <c r="B6" s="5"/>
      <c r="C6" s="11"/>
      <c r="D6" s="66"/>
      <c r="E6" s="66"/>
      <c r="F6" s="66"/>
    </row>
    <row r="7" spans="1:6" x14ac:dyDescent="0.25">
      <c r="A7" s="10"/>
      <c r="B7" s="5"/>
      <c r="C7" s="11"/>
      <c r="D7" s="66"/>
      <c r="E7" s="66"/>
      <c r="F7" s="66"/>
    </row>
    <row r="8" spans="1:6" x14ac:dyDescent="0.25">
      <c r="A8" s="10"/>
      <c r="B8" s="5"/>
      <c r="C8" s="11"/>
      <c r="D8" s="66"/>
      <c r="E8" s="66"/>
      <c r="F8" s="66"/>
    </row>
    <row r="9" spans="1:6" x14ac:dyDescent="0.25">
      <c r="A9" s="10"/>
      <c r="B9" s="2"/>
      <c r="C9" s="11"/>
      <c r="D9" s="66"/>
      <c r="E9" s="66"/>
      <c r="F9" s="66"/>
    </row>
    <row r="10" spans="1:6" x14ac:dyDescent="0.25">
      <c r="A10" s="10"/>
      <c r="B10" s="100" t="s">
        <v>14</v>
      </c>
      <c r="C10" s="101"/>
      <c r="D10" s="67">
        <f>SUM(D4:D9)</f>
        <v>0</v>
      </c>
      <c r="E10" s="13">
        <f>SUM(E4:E9)</f>
        <v>0</v>
      </c>
      <c r="F10" s="13">
        <f>SUM(F4:F9)</f>
        <v>0</v>
      </c>
    </row>
    <row r="12" spans="1:6" ht="27" customHeight="1" x14ac:dyDescent="0.25">
      <c r="A12" s="102" t="s">
        <v>108</v>
      </c>
      <c r="B12" s="102"/>
      <c r="C12" s="102"/>
      <c r="D12" s="102"/>
      <c r="E12" s="102"/>
      <c r="F12" s="102"/>
    </row>
    <row r="13" spans="1:6" ht="45" customHeight="1" x14ac:dyDescent="0.25">
      <c r="A13" s="97" t="s">
        <v>110</v>
      </c>
      <c r="B13" s="102"/>
      <c r="C13" s="102"/>
      <c r="D13" s="102"/>
      <c r="E13" s="102"/>
      <c r="F13" s="102"/>
    </row>
    <row r="14" spans="1:6" s="87" customFormat="1" ht="28.9" customHeight="1" x14ac:dyDescent="0.25">
      <c r="A14" s="97" t="s">
        <v>114</v>
      </c>
      <c r="B14" s="97"/>
      <c r="C14" s="97"/>
      <c r="D14" s="97"/>
      <c r="E14" s="97"/>
      <c r="F14" s="97"/>
    </row>
  </sheetData>
  <mergeCells count="6">
    <mergeCell ref="A14:F14"/>
    <mergeCell ref="E2:F2"/>
    <mergeCell ref="A1:F1"/>
    <mergeCell ref="B10:C10"/>
    <mergeCell ref="A12:F12"/>
    <mergeCell ref="A13:F13"/>
  </mergeCells>
  <pageMargins left="0.7" right="0.7" top="0.75" bottom="0.75" header="0.3" footer="0.3"/>
  <pageSetup orientation="portrait"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zoomScaleNormal="100" zoomScaleSheetLayoutView="115" workbookViewId="0">
      <selection activeCell="A13" sqref="A13:F13"/>
    </sheetView>
  </sheetViews>
  <sheetFormatPr defaultColWidth="9.28515625" defaultRowHeight="15.75" x14ac:dyDescent="0.25"/>
  <cols>
    <col min="1" max="1" width="3.7109375" style="26" bestFit="1" customWidth="1"/>
    <col min="2" max="2" width="21.7109375" style="21" customWidth="1"/>
    <col min="3" max="3" width="19" style="21" customWidth="1"/>
    <col min="4" max="4" width="14.7109375" style="21" bestFit="1" customWidth="1"/>
    <col min="5" max="5" width="10.85546875" style="21" bestFit="1" customWidth="1"/>
    <col min="6" max="6" width="14.140625" style="21" bestFit="1" customWidth="1"/>
    <col min="7" max="16384" width="9.28515625" style="21"/>
  </cols>
  <sheetData>
    <row r="1" spans="1:6" ht="33" customHeight="1" x14ac:dyDescent="0.25">
      <c r="A1" s="103" t="s">
        <v>42</v>
      </c>
      <c r="B1" s="103"/>
      <c r="C1" s="103"/>
      <c r="D1" s="103"/>
      <c r="E1" s="103"/>
      <c r="F1" s="103"/>
    </row>
    <row r="2" spans="1:6" ht="17.25" customHeight="1" x14ac:dyDescent="0.25">
      <c r="A2" s="3"/>
      <c r="B2" s="3"/>
      <c r="C2" s="3"/>
      <c r="D2" s="3"/>
      <c r="E2" s="98" t="s">
        <v>17</v>
      </c>
      <c r="F2" s="98"/>
    </row>
    <row r="3" spans="1:6" ht="31.5" x14ac:dyDescent="0.25">
      <c r="A3" s="28" t="s">
        <v>1</v>
      </c>
      <c r="B3" s="28" t="s">
        <v>13</v>
      </c>
      <c r="C3" s="28" t="s">
        <v>15</v>
      </c>
      <c r="D3" s="28" t="s">
        <v>4</v>
      </c>
      <c r="E3" s="28" t="s">
        <v>5</v>
      </c>
      <c r="F3" s="28" t="s">
        <v>6</v>
      </c>
    </row>
    <row r="4" spans="1:6" x14ac:dyDescent="0.25">
      <c r="A4" s="24">
        <v>1</v>
      </c>
      <c r="B4" s="23"/>
      <c r="C4" s="23"/>
      <c r="D4" s="45"/>
      <c r="E4" s="45"/>
      <c r="F4" s="45"/>
    </row>
    <row r="5" spans="1:6" x14ac:dyDescent="0.25">
      <c r="A5" s="24">
        <v>2</v>
      </c>
      <c r="B5" s="29"/>
      <c r="C5" s="23"/>
      <c r="D5" s="45"/>
      <c r="E5" s="45"/>
      <c r="F5" s="45"/>
    </row>
    <row r="6" spans="1:6" x14ac:dyDescent="0.25">
      <c r="A6" s="24"/>
      <c r="B6" s="29"/>
      <c r="C6" s="23"/>
      <c r="D6" s="45"/>
      <c r="E6" s="45"/>
      <c r="F6" s="45"/>
    </row>
    <row r="7" spans="1:6" x14ac:dyDescent="0.25">
      <c r="A7" s="24"/>
      <c r="B7" s="29"/>
      <c r="C7" s="23"/>
      <c r="D7" s="45"/>
      <c r="E7" s="45"/>
      <c r="F7" s="45"/>
    </row>
    <row r="8" spans="1:6" x14ac:dyDescent="0.25">
      <c r="A8" s="24"/>
      <c r="B8" s="29"/>
      <c r="C8" s="23"/>
      <c r="D8" s="45"/>
      <c r="E8" s="45"/>
      <c r="F8" s="45"/>
    </row>
    <row r="9" spans="1:6" x14ac:dyDescent="0.25">
      <c r="A9" s="24"/>
      <c r="B9" s="30"/>
      <c r="C9" s="23"/>
      <c r="D9" s="45"/>
      <c r="E9" s="45"/>
      <c r="F9" s="45"/>
    </row>
    <row r="10" spans="1:6" x14ac:dyDescent="0.25">
      <c r="A10" s="24"/>
      <c r="B10" s="104" t="s">
        <v>14</v>
      </c>
      <c r="C10" s="105"/>
      <c r="D10" s="46">
        <f>SUM(D4:D9)</f>
        <v>0</v>
      </c>
      <c r="E10" s="46">
        <f>SUM(E4:E9)</f>
        <v>0</v>
      </c>
      <c r="F10" s="46">
        <f>SUM(F4:F9)</f>
        <v>0</v>
      </c>
    </row>
    <row r="12" spans="1:6" ht="42.75" customHeight="1" x14ac:dyDescent="0.25">
      <c r="A12" s="97" t="s">
        <v>110</v>
      </c>
      <c r="B12" s="102"/>
      <c r="C12" s="102"/>
      <c r="D12" s="102"/>
      <c r="E12" s="102"/>
      <c r="F12" s="102"/>
    </row>
    <row r="13" spans="1:6" ht="28.5" customHeight="1" x14ac:dyDescent="0.25">
      <c r="A13" s="97" t="s">
        <v>111</v>
      </c>
      <c r="B13" s="97"/>
      <c r="C13" s="97"/>
      <c r="D13" s="97"/>
      <c r="E13" s="97"/>
      <c r="F13" s="97"/>
    </row>
  </sheetData>
  <mergeCells count="5">
    <mergeCell ref="A1:F1"/>
    <mergeCell ref="E2:F2"/>
    <mergeCell ref="B10:C10"/>
    <mergeCell ref="A12:F12"/>
    <mergeCell ref="A13:F13"/>
  </mergeCells>
  <pageMargins left="0.7" right="0.7" top="0.75" bottom="0.75" header="0.3" footer="0.3"/>
  <pageSetup orientation="portrait" verticalDpi="12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3"/>
  <sheetViews>
    <sheetView zoomScaleNormal="100" zoomScaleSheetLayoutView="115" workbookViewId="0">
      <selection activeCell="A21" sqref="A21:F21"/>
    </sheetView>
  </sheetViews>
  <sheetFormatPr defaultColWidth="9.28515625" defaultRowHeight="15.75" x14ac:dyDescent="0.25"/>
  <cols>
    <col min="1" max="1" width="5" style="26" customWidth="1"/>
    <col min="2" max="2" width="31.7109375" style="21" customWidth="1"/>
    <col min="3" max="3" width="12.140625" style="21" customWidth="1"/>
    <col min="4" max="4" width="10.85546875" style="21" customWidth="1"/>
    <col min="5" max="5" width="12.7109375" style="21" customWidth="1"/>
    <col min="6" max="6" width="15.140625" style="21" customWidth="1"/>
    <col min="7" max="7" width="12.28515625" style="21" customWidth="1"/>
    <col min="8" max="8" width="14.140625" style="21" customWidth="1"/>
    <col min="9" max="16384" width="9.28515625" style="21"/>
  </cols>
  <sheetData>
    <row r="1" spans="1:8" x14ac:dyDescent="0.25">
      <c r="A1" s="96" t="s">
        <v>18</v>
      </c>
      <c r="B1" s="96"/>
      <c r="C1" s="96"/>
      <c r="D1" s="96"/>
      <c r="E1" s="96"/>
      <c r="F1" s="96"/>
      <c r="G1" s="96"/>
      <c r="H1" s="96"/>
    </row>
    <row r="2" spans="1:8" x14ac:dyDescent="0.25">
      <c r="A2" s="15"/>
      <c r="G2" s="106" t="s">
        <v>17</v>
      </c>
      <c r="H2" s="106"/>
    </row>
    <row r="3" spans="1:8" ht="35.25" customHeight="1" x14ac:dyDescent="0.25">
      <c r="A3" s="16" t="s">
        <v>1</v>
      </c>
      <c r="B3" s="16" t="s">
        <v>2</v>
      </c>
      <c r="C3" s="72" t="s">
        <v>80</v>
      </c>
      <c r="D3" s="72" t="s">
        <v>81</v>
      </c>
      <c r="E3" s="73" t="s">
        <v>82</v>
      </c>
      <c r="F3" s="16" t="s">
        <v>4</v>
      </c>
      <c r="G3" s="16" t="s">
        <v>5</v>
      </c>
      <c r="H3" s="16" t="s">
        <v>6</v>
      </c>
    </row>
    <row r="4" spans="1:8" ht="28.5" x14ac:dyDescent="0.25">
      <c r="A4" s="17" t="s">
        <v>19</v>
      </c>
      <c r="B4" s="61" t="s">
        <v>79</v>
      </c>
      <c r="C4" s="62"/>
      <c r="D4" s="74"/>
      <c r="E4" s="62"/>
      <c r="F4" s="69">
        <f>SUM(F5:F9)</f>
        <v>0</v>
      </c>
      <c r="G4" s="69">
        <f t="shared" ref="G4:H4" si="0">SUM(G5:G9)</f>
        <v>0</v>
      </c>
      <c r="H4" s="69">
        <f t="shared" si="0"/>
        <v>0</v>
      </c>
    </row>
    <row r="5" spans="1:8" x14ac:dyDescent="0.25">
      <c r="A5" s="24">
        <v>1</v>
      </c>
      <c r="B5" s="23"/>
      <c r="C5" s="23"/>
      <c r="D5" s="24"/>
      <c r="E5" s="45"/>
      <c r="F5" s="45">
        <f>D5*E5</f>
        <v>0</v>
      </c>
      <c r="G5" s="45"/>
      <c r="H5" s="45"/>
    </row>
    <row r="6" spans="1:8" x14ac:dyDescent="0.25">
      <c r="A6" s="24">
        <v>2</v>
      </c>
      <c r="B6" s="23"/>
      <c r="C6" s="23"/>
      <c r="D6" s="24"/>
      <c r="E6" s="45"/>
      <c r="F6" s="45">
        <f t="shared" ref="F6:F8" si="1">D6*E6</f>
        <v>0</v>
      </c>
      <c r="G6" s="45"/>
      <c r="H6" s="45"/>
    </row>
    <row r="7" spans="1:8" x14ac:dyDescent="0.25">
      <c r="A7" s="24"/>
      <c r="B7" s="23"/>
      <c r="C7" s="23"/>
      <c r="D7" s="24"/>
      <c r="E7" s="45"/>
      <c r="F7" s="45">
        <f t="shared" si="1"/>
        <v>0</v>
      </c>
      <c r="G7" s="45"/>
      <c r="H7" s="45"/>
    </row>
    <row r="8" spans="1:8" x14ac:dyDescent="0.25">
      <c r="A8" s="24"/>
      <c r="B8" s="23"/>
      <c r="C8" s="23"/>
      <c r="D8" s="24"/>
      <c r="E8" s="45"/>
      <c r="F8" s="45">
        <f t="shared" si="1"/>
        <v>0</v>
      </c>
      <c r="G8" s="45"/>
      <c r="H8" s="45"/>
    </row>
    <row r="9" spans="1:8" x14ac:dyDescent="0.25">
      <c r="A9" s="24"/>
      <c r="B9" s="23"/>
      <c r="C9" s="23"/>
      <c r="D9" s="24"/>
      <c r="E9" s="45"/>
      <c r="F9" s="45"/>
      <c r="G9" s="45"/>
      <c r="H9" s="45"/>
    </row>
    <row r="10" spans="1:8" x14ac:dyDescent="0.25">
      <c r="A10" s="17" t="s">
        <v>20</v>
      </c>
      <c r="B10" s="18" t="s">
        <v>21</v>
      </c>
      <c r="C10" s="63"/>
      <c r="D10" s="75"/>
      <c r="E10" s="70"/>
      <c r="F10" s="68">
        <f>SUM(F11:F15)</f>
        <v>0</v>
      </c>
      <c r="G10" s="68">
        <f t="shared" ref="G10:H10" si="2">SUM(G11:G15)</f>
        <v>0</v>
      </c>
      <c r="H10" s="68">
        <f t="shared" si="2"/>
        <v>0</v>
      </c>
    </row>
    <row r="11" spans="1:8" x14ac:dyDescent="0.25">
      <c r="A11" s="6">
        <v>1</v>
      </c>
      <c r="B11" s="7" t="s">
        <v>22</v>
      </c>
      <c r="C11" s="64"/>
      <c r="D11" s="76"/>
      <c r="E11" s="71"/>
      <c r="F11" s="68">
        <f>D11*E11</f>
        <v>0</v>
      </c>
      <c r="G11" s="45"/>
      <c r="H11" s="45"/>
    </row>
    <row r="12" spans="1:8" x14ac:dyDescent="0.25">
      <c r="A12" s="6">
        <v>2</v>
      </c>
      <c r="B12" s="7" t="s">
        <v>23</v>
      </c>
      <c r="C12" s="64"/>
      <c r="D12" s="76"/>
      <c r="E12" s="71"/>
      <c r="F12" s="68">
        <f t="shared" ref="F12:F15" si="3">D12*E12</f>
        <v>0</v>
      </c>
      <c r="G12" s="45"/>
      <c r="H12" s="45"/>
    </row>
    <row r="13" spans="1:8" x14ac:dyDescent="0.25">
      <c r="A13" s="6">
        <v>3</v>
      </c>
      <c r="B13" s="7" t="s">
        <v>24</v>
      </c>
      <c r="C13" s="64"/>
      <c r="D13" s="76"/>
      <c r="E13" s="71"/>
      <c r="F13" s="68">
        <f t="shared" si="3"/>
        <v>0</v>
      </c>
      <c r="G13" s="45"/>
      <c r="H13" s="45"/>
    </row>
    <row r="14" spans="1:8" x14ac:dyDescent="0.25">
      <c r="A14" s="6">
        <v>4</v>
      </c>
      <c r="B14" s="7" t="s">
        <v>25</v>
      </c>
      <c r="C14" s="64"/>
      <c r="D14" s="76"/>
      <c r="E14" s="71"/>
      <c r="F14" s="68">
        <f t="shared" si="3"/>
        <v>0</v>
      </c>
      <c r="G14" s="45"/>
      <c r="H14" s="45"/>
    </row>
    <row r="15" spans="1:8" x14ac:dyDescent="0.25">
      <c r="A15" s="6">
        <v>5</v>
      </c>
      <c r="B15" s="7" t="s">
        <v>26</v>
      </c>
      <c r="C15" s="64"/>
      <c r="D15" s="76"/>
      <c r="E15" s="71"/>
      <c r="F15" s="68">
        <f t="shared" si="3"/>
        <v>0</v>
      </c>
      <c r="G15" s="45"/>
      <c r="H15" s="45"/>
    </row>
    <row r="16" spans="1:8" x14ac:dyDescent="0.25">
      <c r="A16" s="19" t="s">
        <v>27</v>
      </c>
      <c r="B16" s="107" t="s">
        <v>28</v>
      </c>
      <c r="C16" s="108"/>
      <c r="D16" s="108"/>
      <c r="E16" s="109"/>
      <c r="F16" s="69">
        <f>F39</f>
        <v>0</v>
      </c>
      <c r="G16" s="69">
        <f t="shared" ref="G16:H16" si="4">G39</f>
        <v>0</v>
      </c>
      <c r="H16" s="69">
        <f t="shared" si="4"/>
        <v>0</v>
      </c>
    </row>
    <row r="17" spans="1:8" x14ac:dyDescent="0.25">
      <c r="A17" s="24"/>
      <c r="B17" s="23"/>
      <c r="C17" s="22"/>
      <c r="D17" s="22"/>
      <c r="E17" s="22"/>
      <c r="F17" s="68"/>
      <c r="G17" s="45"/>
      <c r="H17" s="45"/>
    </row>
    <row r="18" spans="1:8" x14ac:dyDescent="0.25">
      <c r="A18" s="19"/>
      <c r="B18" s="110" t="s">
        <v>14</v>
      </c>
      <c r="C18" s="111"/>
      <c r="D18" s="111"/>
      <c r="E18" s="112"/>
      <c r="F18" s="69">
        <f>F4+F10+F16</f>
        <v>0</v>
      </c>
      <c r="G18" s="46">
        <f>SUM(G4,G10,G16)</f>
        <v>0</v>
      </c>
      <c r="H18" s="46">
        <f>SUM(H4,H10,H16)</f>
        <v>0</v>
      </c>
    </row>
    <row r="21" spans="1:8" x14ac:dyDescent="0.25">
      <c r="A21" s="113" t="s">
        <v>106</v>
      </c>
      <c r="B21" s="114"/>
      <c r="C21" s="114"/>
      <c r="D21" s="114"/>
      <c r="E21" s="114"/>
      <c r="F21" s="114"/>
    </row>
    <row r="22" spans="1:8" x14ac:dyDescent="0.25">
      <c r="A22" s="120" t="s">
        <v>84</v>
      </c>
      <c r="B22" s="120" t="s">
        <v>85</v>
      </c>
      <c r="C22" s="120" t="s">
        <v>86</v>
      </c>
      <c r="D22" s="120"/>
      <c r="E22" s="120"/>
      <c r="F22" s="120" t="s">
        <v>87</v>
      </c>
      <c r="G22" s="116" t="s">
        <v>5</v>
      </c>
      <c r="H22" s="116" t="s">
        <v>6</v>
      </c>
    </row>
    <row r="23" spans="1:8" ht="28.5" x14ac:dyDescent="0.25">
      <c r="A23" s="120"/>
      <c r="B23" s="120"/>
      <c r="C23" s="81" t="s">
        <v>88</v>
      </c>
      <c r="D23" s="81" t="s">
        <v>89</v>
      </c>
      <c r="E23" s="81" t="s">
        <v>90</v>
      </c>
      <c r="F23" s="120"/>
      <c r="G23" s="117"/>
      <c r="H23" s="117"/>
    </row>
    <row r="24" spans="1:8" x14ac:dyDescent="0.25">
      <c r="A24" s="82" t="s">
        <v>91</v>
      </c>
      <c r="B24" s="118" t="s">
        <v>92</v>
      </c>
      <c r="C24" s="118"/>
      <c r="D24" s="118"/>
      <c r="E24" s="118"/>
      <c r="F24" s="83">
        <f>SUM(F25:F28)</f>
        <v>0</v>
      </c>
      <c r="G24" s="23"/>
      <c r="H24" s="23"/>
    </row>
    <row r="25" spans="1:8" x14ac:dyDescent="0.25">
      <c r="A25" s="82">
        <v>1</v>
      </c>
      <c r="B25" s="84" t="s">
        <v>93</v>
      </c>
      <c r="C25" s="82"/>
      <c r="D25" s="82"/>
      <c r="E25" s="82"/>
      <c r="F25" s="85">
        <f>C25*D25*E25</f>
        <v>0</v>
      </c>
      <c r="G25" s="23"/>
      <c r="H25" s="23"/>
    </row>
    <row r="26" spans="1:8" x14ac:dyDescent="0.25">
      <c r="A26" s="82">
        <v>2</v>
      </c>
      <c r="B26" s="84" t="s">
        <v>94</v>
      </c>
      <c r="C26" s="82"/>
      <c r="D26" s="82"/>
      <c r="E26" s="82"/>
      <c r="F26" s="85">
        <f>C26*D26*E26</f>
        <v>0</v>
      </c>
      <c r="G26" s="23"/>
      <c r="H26" s="23"/>
    </row>
    <row r="27" spans="1:8" x14ac:dyDescent="0.25">
      <c r="A27" s="82">
        <v>3</v>
      </c>
      <c r="B27" s="84" t="s">
        <v>95</v>
      </c>
      <c r="C27" s="82"/>
      <c r="D27" s="82"/>
      <c r="E27" s="82"/>
      <c r="F27" s="85">
        <f>C27*D27*E27</f>
        <v>0</v>
      </c>
      <c r="G27" s="23"/>
      <c r="H27" s="23"/>
    </row>
    <row r="28" spans="1:8" x14ac:dyDescent="0.25">
      <c r="A28" s="82">
        <v>4</v>
      </c>
      <c r="B28" s="84" t="s">
        <v>96</v>
      </c>
      <c r="C28" s="82"/>
      <c r="D28" s="82"/>
      <c r="E28" s="82"/>
      <c r="F28" s="85">
        <f>C28*D28*E28</f>
        <v>0</v>
      </c>
      <c r="G28" s="23"/>
      <c r="H28" s="23"/>
    </row>
    <row r="29" spans="1:8" x14ac:dyDescent="0.25">
      <c r="A29" s="82" t="s">
        <v>97</v>
      </c>
      <c r="B29" s="118" t="s">
        <v>98</v>
      </c>
      <c r="C29" s="118"/>
      <c r="D29" s="118"/>
      <c r="E29" s="118"/>
      <c r="F29" s="83">
        <f>SUM(F30:F33)</f>
        <v>0</v>
      </c>
      <c r="G29" s="23"/>
      <c r="H29" s="23"/>
    </row>
    <row r="30" spans="1:8" x14ac:dyDescent="0.25">
      <c r="A30" s="82">
        <v>1</v>
      </c>
      <c r="B30" s="84" t="s">
        <v>93</v>
      </c>
      <c r="C30" s="82"/>
      <c r="D30" s="82"/>
      <c r="E30" s="82"/>
      <c r="F30" s="85">
        <f>C30*D30*E30</f>
        <v>0</v>
      </c>
      <c r="G30" s="23"/>
      <c r="H30" s="23"/>
    </row>
    <row r="31" spans="1:8" x14ac:dyDescent="0.25">
      <c r="A31" s="82">
        <v>2</v>
      </c>
      <c r="B31" s="84" t="s">
        <v>94</v>
      </c>
      <c r="C31" s="82"/>
      <c r="D31" s="82"/>
      <c r="E31" s="82"/>
      <c r="F31" s="85">
        <f>C31*D31*E31</f>
        <v>0</v>
      </c>
      <c r="G31" s="23"/>
      <c r="H31" s="23"/>
    </row>
    <row r="32" spans="1:8" x14ac:dyDescent="0.25">
      <c r="A32" s="82">
        <v>3</v>
      </c>
      <c r="B32" s="84" t="s">
        <v>95</v>
      </c>
      <c r="C32" s="82"/>
      <c r="D32" s="82"/>
      <c r="E32" s="82"/>
      <c r="F32" s="85">
        <f>C32*D32*E32</f>
        <v>0</v>
      </c>
      <c r="G32" s="23"/>
      <c r="H32" s="23"/>
    </row>
    <row r="33" spans="1:8" x14ac:dyDescent="0.25">
      <c r="A33" s="82">
        <v>4</v>
      </c>
      <c r="B33" s="84" t="s">
        <v>96</v>
      </c>
      <c r="C33" s="82"/>
      <c r="D33" s="82"/>
      <c r="E33" s="82"/>
      <c r="F33" s="85">
        <f>C33*D33*E33</f>
        <v>0</v>
      </c>
      <c r="G33" s="23"/>
      <c r="H33" s="23"/>
    </row>
    <row r="34" spans="1:8" x14ac:dyDescent="0.25">
      <c r="A34" s="82" t="s">
        <v>99</v>
      </c>
      <c r="B34" s="118" t="s">
        <v>100</v>
      </c>
      <c r="C34" s="118"/>
      <c r="D34" s="118"/>
      <c r="E34" s="118"/>
      <c r="F34" s="83">
        <f>SUM(F35:F38)</f>
        <v>0</v>
      </c>
      <c r="G34" s="23"/>
      <c r="H34" s="23"/>
    </row>
    <row r="35" spans="1:8" x14ac:dyDescent="0.25">
      <c r="A35" s="82">
        <v>1</v>
      </c>
      <c r="B35" s="84" t="s">
        <v>93</v>
      </c>
      <c r="C35" s="82"/>
      <c r="D35" s="82"/>
      <c r="E35" s="82"/>
      <c r="F35" s="85">
        <f>C35*D35*E35</f>
        <v>0</v>
      </c>
      <c r="G35" s="23"/>
      <c r="H35" s="23"/>
    </row>
    <row r="36" spans="1:8" x14ac:dyDescent="0.25">
      <c r="A36" s="82">
        <v>2</v>
      </c>
      <c r="B36" s="84" t="s">
        <v>94</v>
      </c>
      <c r="C36" s="82"/>
      <c r="D36" s="82"/>
      <c r="E36" s="82"/>
      <c r="F36" s="85">
        <f>C36*D36*E36</f>
        <v>0</v>
      </c>
      <c r="G36" s="23"/>
      <c r="H36" s="23"/>
    </row>
    <row r="37" spans="1:8" x14ac:dyDescent="0.25">
      <c r="A37" s="82">
        <v>3</v>
      </c>
      <c r="B37" s="84" t="s">
        <v>95</v>
      </c>
      <c r="C37" s="82"/>
      <c r="D37" s="82"/>
      <c r="E37" s="82"/>
      <c r="F37" s="85">
        <f>C37*D37*E37</f>
        <v>0</v>
      </c>
      <c r="G37" s="23"/>
      <c r="H37" s="23"/>
    </row>
    <row r="38" spans="1:8" x14ac:dyDescent="0.25">
      <c r="A38" s="82">
        <v>4</v>
      </c>
      <c r="B38" s="84" t="s">
        <v>96</v>
      </c>
      <c r="C38" s="82"/>
      <c r="D38" s="82"/>
      <c r="E38" s="82"/>
      <c r="F38" s="85">
        <f>C38*D38*E38</f>
        <v>0</v>
      </c>
      <c r="G38" s="23"/>
      <c r="H38" s="23"/>
    </row>
    <row r="39" spans="1:8" x14ac:dyDescent="0.25">
      <c r="A39" s="119" t="s">
        <v>101</v>
      </c>
      <c r="B39" s="119"/>
      <c r="C39" s="119"/>
      <c r="D39" s="119"/>
      <c r="E39" s="119"/>
      <c r="F39" s="85">
        <f>F24+F29+F34</f>
        <v>0</v>
      </c>
      <c r="G39" s="23"/>
      <c r="H39" s="23"/>
    </row>
    <row r="40" spans="1:8" x14ac:dyDescent="0.25">
      <c r="A40"/>
      <c r="B40"/>
      <c r="C40"/>
      <c r="D40"/>
      <c r="E40"/>
      <c r="F40"/>
    </row>
    <row r="41" spans="1:8" x14ac:dyDescent="0.25">
      <c r="A41" s="115" t="s">
        <v>102</v>
      </c>
      <c r="B41" s="115"/>
      <c r="C41" s="115"/>
      <c r="D41" s="115"/>
      <c r="E41" s="115"/>
      <c r="F41" s="115"/>
    </row>
    <row r="42" spans="1:8" x14ac:dyDescent="0.25">
      <c r="A42" s="115" t="s">
        <v>103</v>
      </c>
      <c r="B42" s="115"/>
      <c r="C42" s="115"/>
      <c r="D42" s="115"/>
      <c r="E42" s="115"/>
      <c r="F42" s="115"/>
    </row>
    <row r="43" spans="1:8" x14ac:dyDescent="0.25">
      <c r="A43" s="115" t="s">
        <v>104</v>
      </c>
      <c r="B43" s="115"/>
      <c r="C43" s="115"/>
      <c r="D43" s="115"/>
      <c r="E43" s="115"/>
      <c r="F43" s="115"/>
    </row>
  </sheetData>
  <mergeCells count="18">
    <mergeCell ref="A42:F42"/>
    <mergeCell ref="A43:F43"/>
    <mergeCell ref="G22:G23"/>
    <mergeCell ref="H22:H23"/>
    <mergeCell ref="B29:E29"/>
    <mergeCell ref="B34:E34"/>
    <mergeCell ref="A39:E39"/>
    <mergeCell ref="A41:F41"/>
    <mergeCell ref="A22:A23"/>
    <mergeCell ref="B22:B23"/>
    <mergeCell ref="C22:E22"/>
    <mergeCell ref="F22:F23"/>
    <mergeCell ref="B24:E24"/>
    <mergeCell ref="G2:H2"/>
    <mergeCell ref="A1:H1"/>
    <mergeCell ref="B16:E16"/>
    <mergeCell ref="B18:E18"/>
    <mergeCell ref="A21:F21"/>
  </mergeCells>
  <pageMargins left="0.7" right="0.7" top="0.75" bottom="0.75" header="0.3" footer="0.3"/>
  <pageSetup orientation="portrait" verticalDpi="12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7"/>
  <sheetViews>
    <sheetView zoomScaleNormal="100" zoomScaleSheetLayoutView="70" workbookViewId="0">
      <selection activeCell="B9" sqref="B9:E9"/>
    </sheetView>
  </sheetViews>
  <sheetFormatPr defaultColWidth="9.28515625" defaultRowHeight="15.75" x14ac:dyDescent="0.25"/>
  <cols>
    <col min="1" max="1" width="5" style="26" customWidth="1"/>
    <col min="2" max="2" width="41" style="21" customWidth="1"/>
    <col min="3" max="3" width="10.5703125" style="21" customWidth="1"/>
    <col min="4" max="4" width="11.28515625" style="21" customWidth="1"/>
    <col min="5" max="5" width="13.42578125" style="21" customWidth="1"/>
    <col min="6" max="7" width="14.7109375" style="21" customWidth="1"/>
    <col min="8" max="8" width="16.28515625" style="21" customWidth="1"/>
    <col min="9" max="9" width="11.42578125" style="21" customWidth="1"/>
    <col min="10" max="16384" width="9.28515625" style="21"/>
  </cols>
  <sheetData>
    <row r="1" spans="1:8" x14ac:dyDescent="0.25">
      <c r="A1" s="121" t="s">
        <v>29</v>
      </c>
      <c r="B1" s="121"/>
      <c r="C1" s="121"/>
      <c r="D1" s="121"/>
      <c r="E1" s="121"/>
      <c r="F1" s="121"/>
      <c r="G1" s="121"/>
      <c r="H1" s="121"/>
    </row>
    <row r="2" spans="1:8" x14ac:dyDescent="0.25">
      <c r="G2" s="122" t="s">
        <v>17</v>
      </c>
      <c r="H2" s="122"/>
    </row>
    <row r="3" spans="1:8" ht="31.5" x14ac:dyDescent="0.25">
      <c r="A3" s="27" t="s">
        <v>1</v>
      </c>
      <c r="B3" s="27" t="s">
        <v>2</v>
      </c>
      <c r="C3" s="65" t="s">
        <v>80</v>
      </c>
      <c r="D3" s="65" t="s">
        <v>81</v>
      </c>
      <c r="E3" s="65" t="s">
        <v>82</v>
      </c>
      <c r="F3" s="27" t="s">
        <v>4</v>
      </c>
      <c r="G3" s="27" t="s">
        <v>5</v>
      </c>
      <c r="H3" s="27" t="s">
        <v>6</v>
      </c>
    </row>
    <row r="4" spans="1:8" x14ac:dyDescent="0.25">
      <c r="A4" s="9">
        <v>1</v>
      </c>
      <c r="B4" s="8" t="s">
        <v>30</v>
      </c>
      <c r="C4" s="8"/>
      <c r="D4" s="9"/>
      <c r="E4" s="77"/>
      <c r="F4" s="78">
        <f>D4*E4</f>
        <v>0</v>
      </c>
      <c r="G4" s="79"/>
      <c r="H4" s="79"/>
    </row>
    <row r="5" spans="1:8" x14ac:dyDescent="0.25">
      <c r="A5" s="9">
        <v>2</v>
      </c>
      <c r="B5" s="8" t="s">
        <v>31</v>
      </c>
      <c r="C5" s="8"/>
      <c r="D5" s="9"/>
      <c r="E5" s="77"/>
      <c r="F5" s="78">
        <f t="shared" ref="F5" si="0">D5*E5</f>
        <v>0</v>
      </c>
      <c r="G5" s="79"/>
      <c r="H5" s="79"/>
    </row>
    <row r="6" spans="1:8" x14ac:dyDescent="0.25">
      <c r="A6" s="9">
        <v>3</v>
      </c>
      <c r="B6" s="8" t="s">
        <v>32</v>
      </c>
      <c r="C6" s="8"/>
      <c r="D6" s="9"/>
      <c r="E6" s="77"/>
      <c r="F6" s="78">
        <f>D6*E6</f>
        <v>0</v>
      </c>
      <c r="G6" s="47"/>
      <c r="H6" s="79"/>
    </row>
    <row r="7" spans="1:8" x14ac:dyDescent="0.25">
      <c r="A7" s="9">
        <v>4</v>
      </c>
      <c r="B7" s="8" t="s">
        <v>33</v>
      </c>
      <c r="C7" s="8"/>
      <c r="D7" s="9"/>
      <c r="E7" s="77"/>
      <c r="F7" s="78">
        <f t="shared" ref="F7:F8" si="1">D7*E7</f>
        <v>0</v>
      </c>
      <c r="G7" s="79"/>
      <c r="H7" s="79"/>
    </row>
    <row r="8" spans="1:8" ht="18" customHeight="1" x14ac:dyDescent="0.25">
      <c r="A8" s="9">
        <v>5</v>
      </c>
      <c r="B8" s="8" t="s">
        <v>34</v>
      </c>
      <c r="C8" s="8"/>
      <c r="D8" s="9"/>
      <c r="E8" s="77"/>
      <c r="F8" s="78">
        <f t="shared" si="1"/>
        <v>0</v>
      </c>
      <c r="G8" s="79"/>
      <c r="H8" s="79"/>
    </row>
    <row r="9" spans="1:8" x14ac:dyDescent="0.25">
      <c r="A9" s="9">
        <v>6</v>
      </c>
      <c r="B9" s="123" t="s">
        <v>115</v>
      </c>
      <c r="C9" s="124"/>
      <c r="D9" s="124"/>
      <c r="E9" s="125"/>
      <c r="F9" s="79"/>
      <c r="G9" s="79"/>
      <c r="H9" s="79"/>
    </row>
    <row r="10" spans="1:8" x14ac:dyDescent="0.25">
      <c r="A10" s="9">
        <v>7</v>
      </c>
      <c r="B10" s="123" t="s">
        <v>107</v>
      </c>
      <c r="C10" s="124"/>
      <c r="D10" s="124"/>
      <c r="E10" s="125"/>
      <c r="F10" s="79"/>
      <c r="G10" s="79"/>
      <c r="H10" s="79"/>
    </row>
    <row r="11" spans="1:8" x14ac:dyDescent="0.25">
      <c r="A11" s="9">
        <v>8</v>
      </c>
      <c r="B11" s="123" t="s">
        <v>35</v>
      </c>
      <c r="C11" s="124"/>
      <c r="D11" s="124"/>
      <c r="E11" s="125"/>
      <c r="F11" s="86">
        <f>F33</f>
        <v>0</v>
      </c>
      <c r="G11" s="86">
        <f t="shared" ref="G11:H11" si="2">G33</f>
        <v>0</v>
      </c>
      <c r="H11" s="86">
        <f t="shared" si="2"/>
        <v>0</v>
      </c>
    </row>
    <row r="12" spans="1:8" x14ac:dyDescent="0.25">
      <c r="A12" s="28"/>
      <c r="B12" s="110" t="s">
        <v>14</v>
      </c>
      <c r="C12" s="111"/>
      <c r="D12" s="111"/>
      <c r="E12" s="112"/>
      <c r="F12" s="46">
        <f>SUM(F4:F11)</f>
        <v>0</v>
      </c>
      <c r="G12" s="46">
        <f>SUM(G4:G11)</f>
        <v>0</v>
      </c>
      <c r="H12" s="86">
        <f>SUM(H4:H11)</f>
        <v>0</v>
      </c>
    </row>
    <row r="15" spans="1:8" x14ac:dyDescent="0.25">
      <c r="A15" s="113" t="s">
        <v>105</v>
      </c>
      <c r="B15" s="114"/>
      <c r="C15" s="114"/>
      <c r="D15" s="114"/>
      <c r="E15" s="114"/>
      <c r="F15" s="114"/>
    </row>
    <row r="16" spans="1:8" x14ac:dyDescent="0.25">
      <c r="A16" s="120" t="s">
        <v>84</v>
      </c>
      <c r="B16" s="120" t="s">
        <v>85</v>
      </c>
      <c r="C16" s="120" t="s">
        <v>86</v>
      </c>
      <c r="D16" s="120"/>
      <c r="E16" s="120"/>
      <c r="F16" s="120" t="s">
        <v>87</v>
      </c>
      <c r="G16" s="116" t="s">
        <v>5</v>
      </c>
      <c r="H16" s="116" t="s">
        <v>6</v>
      </c>
    </row>
    <row r="17" spans="1:8" ht="28.5" x14ac:dyDescent="0.25">
      <c r="A17" s="120"/>
      <c r="B17" s="120"/>
      <c r="C17" s="81" t="s">
        <v>88</v>
      </c>
      <c r="D17" s="81" t="s">
        <v>89</v>
      </c>
      <c r="E17" s="81" t="s">
        <v>90</v>
      </c>
      <c r="F17" s="120"/>
      <c r="G17" s="117"/>
      <c r="H17" s="117"/>
    </row>
    <row r="18" spans="1:8" x14ac:dyDescent="0.25">
      <c r="A18" s="82" t="s">
        <v>91</v>
      </c>
      <c r="B18" s="118" t="s">
        <v>92</v>
      </c>
      <c r="C18" s="118"/>
      <c r="D18" s="118"/>
      <c r="E18" s="118"/>
      <c r="F18" s="83">
        <f>SUM(F19:F22)</f>
        <v>0</v>
      </c>
      <c r="G18" s="23"/>
      <c r="H18" s="23"/>
    </row>
    <row r="19" spans="1:8" x14ac:dyDescent="0.25">
      <c r="A19" s="82">
        <v>1</v>
      </c>
      <c r="B19" s="84" t="s">
        <v>93</v>
      </c>
      <c r="C19" s="82"/>
      <c r="D19" s="82"/>
      <c r="E19" s="82"/>
      <c r="F19" s="85">
        <f>C19*D19*E19</f>
        <v>0</v>
      </c>
      <c r="G19" s="23"/>
      <c r="H19" s="23"/>
    </row>
    <row r="20" spans="1:8" x14ac:dyDescent="0.25">
      <c r="A20" s="82">
        <v>2</v>
      </c>
      <c r="B20" s="84" t="s">
        <v>94</v>
      </c>
      <c r="C20" s="82"/>
      <c r="D20" s="82"/>
      <c r="E20" s="82"/>
      <c r="F20" s="85">
        <f>C20*D20*E20</f>
        <v>0</v>
      </c>
      <c r="G20" s="23"/>
      <c r="H20" s="23"/>
    </row>
    <row r="21" spans="1:8" x14ac:dyDescent="0.25">
      <c r="A21" s="82">
        <v>3</v>
      </c>
      <c r="B21" s="84" t="s">
        <v>95</v>
      </c>
      <c r="C21" s="82"/>
      <c r="D21" s="82"/>
      <c r="E21" s="82"/>
      <c r="F21" s="85">
        <f>C21*D21*E21</f>
        <v>0</v>
      </c>
      <c r="G21" s="23"/>
      <c r="H21" s="23"/>
    </row>
    <row r="22" spans="1:8" x14ac:dyDescent="0.25">
      <c r="A22" s="82">
        <v>4</v>
      </c>
      <c r="B22" s="84" t="s">
        <v>96</v>
      </c>
      <c r="C22" s="82"/>
      <c r="D22" s="82"/>
      <c r="E22" s="82"/>
      <c r="F22" s="85">
        <f>C22*D22*E22</f>
        <v>0</v>
      </c>
      <c r="G22" s="23"/>
      <c r="H22" s="23"/>
    </row>
    <row r="23" spans="1:8" x14ac:dyDescent="0.25">
      <c r="A23" s="82" t="s">
        <v>97</v>
      </c>
      <c r="B23" s="118" t="s">
        <v>98</v>
      </c>
      <c r="C23" s="118"/>
      <c r="D23" s="118"/>
      <c r="E23" s="118"/>
      <c r="F23" s="83">
        <f>SUM(F24:F27)</f>
        <v>0</v>
      </c>
      <c r="G23" s="23"/>
      <c r="H23" s="23"/>
    </row>
    <row r="24" spans="1:8" x14ac:dyDescent="0.25">
      <c r="A24" s="82">
        <v>1</v>
      </c>
      <c r="B24" s="84" t="s">
        <v>93</v>
      </c>
      <c r="C24" s="82"/>
      <c r="D24" s="82"/>
      <c r="E24" s="82"/>
      <c r="F24" s="85">
        <f>C24*D24*E24</f>
        <v>0</v>
      </c>
      <c r="G24" s="23"/>
      <c r="H24" s="23"/>
    </row>
    <row r="25" spans="1:8" x14ac:dyDescent="0.25">
      <c r="A25" s="82">
        <v>2</v>
      </c>
      <c r="B25" s="84" t="s">
        <v>94</v>
      </c>
      <c r="C25" s="82"/>
      <c r="D25" s="82"/>
      <c r="E25" s="82"/>
      <c r="F25" s="85">
        <f>C25*D25*E25</f>
        <v>0</v>
      </c>
      <c r="G25" s="23"/>
      <c r="H25" s="23"/>
    </row>
    <row r="26" spans="1:8" x14ac:dyDescent="0.25">
      <c r="A26" s="82">
        <v>3</v>
      </c>
      <c r="B26" s="84" t="s">
        <v>95</v>
      </c>
      <c r="C26" s="82"/>
      <c r="D26" s="82"/>
      <c r="E26" s="82"/>
      <c r="F26" s="85">
        <f>C26*D26*E26</f>
        <v>0</v>
      </c>
      <c r="G26" s="23"/>
      <c r="H26" s="23"/>
    </row>
    <row r="27" spans="1:8" x14ac:dyDescent="0.25">
      <c r="A27" s="82">
        <v>4</v>
      </c>
      <c r="B27" s="84" t="s">
        <v>96</v>
      </c>
      <c r="C27" s="82"/>
      <c r="D27" s="82"/>
      <c r="E27" s="82"/>
      <c r="F27" s="85">
        <f>C27*D27*E27</f>
        <v>0</v>
      </c>
      <c r="G27" s="23"/>
      <c r="H27" s="23"/>
    </row>
    <row r="28" spans="1:8" x14ac:dyDescent="0.25">
      <c r="A28" s="82" t="s">
        <v>99</v>
      </c>
      <c r="B28" s="118" t="s">
        <v>100</v>
      </c>
      <c r="C28" s="118"/>
      <c r="D28" s="118"/>
      <c r="E28" s="118"/>
      <c r="F28" s="83">
        <f>SUM(F29:F32)</f>
        <v>0</v>
      </c>
      <c r="G28" s="23"/>
      <c r="H28" s="23"/>
    </row>
    <row r="29" spans="1:8" x14ac:dyDescent="0.25">
      <c r="A29" s="82">
        <v>1</v>
      </c>
      <c r="B29" s="84" t="s">
        <v>93</v>
      </c>
      <c r="C29" s="82"/>
      <c r="D29" s="82"/>
      <c r="E29" s="82"/>
      <c r="F29" s="85">
        <f>C29*D29*E29</f>
        <v>0</v>
      </c>
      <c r="G29" s="23"/>
      <c r="H29" s="23"/>
    </row>
    <row r="30" spans="1:8" x14ac:dyDescent="0.25">
      <c r="A30" s="82">
        <v>2</v>
      </c>
      <c r="B30" s="84" t="s">
        <v>94</v>
      </c>
      <c r="C30" s="82"/>
      <c r="D30" s="82"/>
      <c r="E30" s="82"/>
      <c r="F30" s="85">
        <f>C30*D30*E30</f>
        <v>0</v>
      </c>
      <c r="G30" s="23"/>
      <c r="H30" s="23"/>
    </row>
    <row r="31" spans="1:8" x14ac:dyDescent="0.25">
      <c r="A31" s="82">
        <v>3</v>
      </c>
      <c r="B31" s="84" t="s">
        <v>95</v>
      </c>
      <c r="C31" s="82"/>
      <c r="D31" s="82"/>
      <c r="E31" s="82"/>
      <c r="F31" s="85">
        <f>C31*D31*E31</f>
        <v>0</v>
      </c>
      <c r="G31" s="23"/>
      <c r="H31" s="23"/>
    </row>
    <row r="32" spans="1:8" x14ac:dyDescent="0.25">
      <c r="A32" s="82">
        <v>4</v>
      </c>
      <c r="B32" s="84" t="s">
        <v>96</v>
      </c>
      <c r="C32" s="82"/>
      <c r="D32" s="82"/>
      <c r="E32" s="82"/>
      <c r="F32" s="85">
        <f>C32*D32*E32</f>
        <v>0</v>
      </c>
      <c r="G32" s="23"/>
      <c r="H32" s="23"/>
    </row>
    <row r="33" spans="1:8" x14ac:dyDescent="0.25">
      <c r="A33" s="119" t="s">
        <v>101</v>
      </c>
      <c r="B33" s="119"/>
      <c r="C33" s="119"/>
      <c r="D33" s="119"/>
      <c r="E33" s="119"/>
      <c r="F33" s="85">
        <f>F18+F23+F28</f>
        <v>0</v>
      </c>
      <c r="G33" s="23"/>
      <c r="H33" s="23"/>
    </row>
    <row r="34" spans="1:8" x14ac:dyDescent="0.25">
      <c r="A34"/>
      <c r="B34"/>
      <c r="C34"/>
      <c r="D34"/>
      <c r="E34"/>
      <c r="F34"/>
    </row>
    <row r="35" spans="1:8" x14ac:dyDescent="0.25">
      <c r="A35" s="115" t="s">
        <v>102</v>
      </c>
      <c r="B35" s="115"/>
      <c r="C35" s="115"/>
      <c r="D35" s="115"/>
      <c r="E35" s="115"/>
      <c r="F35" s="115"/>
    </row>
    <row r="36" spans="1:8" x14ac:dyDescent="0.25">
      <c r="A36" s="115" t="s">
        <v>103</v>
      </c>
      <c r="B36" s="115"/>
      <c r="C36" s="115"/>
      <c r="D36" s="115"/>
      <c r="E36" s="115"/>
      <c r="F36" s="115"/>
    </row>
    <row r="37" spans="1:8" x14ac:dyDescent="0.25">
      <c r="A37" s="115" t="s">
        <v>104</v>
      </c>
      <c r="B37" s="115"/>
      <c r="C37" s="115"/>
      <c r="D37" s="115"/>
      <c r="E37" s="115"/>
      <c r="F37" s="115"/>
    </row>
  </sheetData>
  <mergeCells count="20">
    <mergeCell ref="A35:F35"/>
    <mergeCell ref="A36:F36"/>
    <mergeCell ref="A37:F37"/>
    <mergeCell ref="G16:G17"/>
    <mergeCell ref="H16:H17"/>
    <mergeCell ref="B18:E18"/>
    <mergeCell ref="B23:E23"/>
    <mergeCell ref="B28:E28"/>
    <mergeCell ref="A33:E33"/>
    <mergeCell ref="A15:F15"/>
    <mergeCell ref="A16:A17"/>
    <mergeCell ref="B16:B17"/>
    <mergeCell ref="C16:E16"/>
    <mergeCell ref="F16:F17"/>
    <mergeCell ref="A1:H1"/>
    <mergeCell ref="G2:H2"/>
    <mergeCell ref="B12:E12"/>
    <mergeCell ref="B9:E9"/>
    <mergeCell ref="B10:E10"/>
    <mergeCell ref="B11:E11"/>
  </mergeCells>
  <pageMargins left="0.7" right="0.7" top="0.75" bottom="0.75" header="0.3" footer="0.3"/>
  <pageSetup orientation="portrait"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10</vt:i4>
      </vt:variant>
    </vt:vector>
  </HeadingPairs>
  <TitlesOfParts>
    <vt:vector size="17" baseType="lpstr">
      <vt:lpstr>Tong KP</vt:lpstr>
      <vt:lpstr>Kh1</vt:lpstr>
      <vt:lpstr>B1.1</vt:lpstr>
      <vt:lpstr>B1.2</vt:lpstr>
      <vt:lpstr>B1.3</vt:lpstr>
      <vt:lpstr>Kh2</vt:lpstr>
      <vt:lpstr>Kh3</vt:lpstr>
      <vt:lpstr>'Tong KP'!_Toc413248967</vt:lpstr>
      <vt:lpstr>'Tong KP'!_Toc413248968</vt:lpstr>
      <vt:lpstr>'Kh3'!_Toc413248972</vt:lpstr>
      <vt:lpstr>B1.2!Print_Area</vt:lpstr>
      <vt:lpstr>B1.3!Print_Area</vt:lpstr>
      <vt:lpstr>'Kh1'!Print_Area</vt:lpstr>
      <vt:lpstr>'Kh2'!Print_Area</vt:lpstr>
      <vt:lpstr>'Kh3'!Print_Area</vt:lpstr>
      <vt:lpstr>'Tong KP'!Print_Area</vt:lpstr>
      <vt:lpstr>B1.1!Print_Titles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hellllooo</dc:creator>
  <cp:lastModifiedBy>Dương Thị Hồng</cp:lastModifiedBy>
  <cp:lastPrinted>2024-09-04T02:24:30Z</cp:lastPrinted>
  <dcterms:created xsi:type="dcterms:W3CDTF">2023-01-12T03:37:20Z</dcterms:created>
  <dcterms:modified xsi:type="dcterms:W3CDTF">2024-09-04T02:26:11Z</dcterms:modified>
</cp:coreProperties>
</file>